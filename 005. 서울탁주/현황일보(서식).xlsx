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invigoworks\OneDrive\바탕 화면\원가혁신팀\03. 기획\005. 서울탁주\"/>
    </mc:Choice>
  </mc:AlternateContent>
  <xr:revisionPtr revIDLastSave="0" documentId="11_5D7C48A6BB51DCAA58D61E238E73CEEC76ABBE1F" xr6:coauthVersionLast="47" xr6:coauthVersionMax="47" xr10:uidLastSave="{00000000-0000-0000-0000-000000000000}"/>
  <bookViews>
    <workbookView xWindow="-120" yWindow="-120" windowWidth="29040" windowHeight="15720" tabRatio="934" xr2:uid="{00000000-000D-0000-FFFF-FFFF00000000}"/>
  </bookViews>
  <sheets>
    <sheet name="전월말일" sheetId="1" r:id="rId1"/>
    <sheet name="1일" sheetId="4" r:id="rId2"/>
    <sheet name="2일" sheetId="9" r:id="rId3"/>
    <sheet name="3일" sheetId="10" r:id="rId4"/>
    <sheet name="4일" sheetId="15" r:id="rId5"/>
    <sheet name="5일" sheetId="12" r:id="rId6"/>
    <sheet name="6일" sheetId="13" r:id="rId7"/>
    <sheet name="7일" sheetId="14" r:id="rId8"/>
    <sheet name="8일" sheetId="16" r:id="rId9"/>
    <sheet name="9일" sheetId="17" r:id="rId10"/>
    <sheet name="10일" sheetId="18" r:id="rId11"/>
    <sheet name="11일" sheetId="19" r:id="rId12"/>
    <sheet name="12일" sheetId="42" r:id="rId13"/>
    <sheet name="13일" sheetId="43" r:id="rId14"/>
    <sheet name="14일" sheetId="45" r:id="rId15"/>
    <sheet name="15일" sheetId="46" r:id="rId16"/>
    <sheet name="16일" sheetId="47" r:id="rId17"/>
    <sheet name="17일" sheetId="49" r:id="rId18"/>
    <sheet name="18일" sheetId="51" r:id="rId19"/>
    <sheet name="19일" sheetId="52" r:id="rId20"/>
    <sheet name="20일" sheetId="53" r:id="rId21"/>
    <sheet name="21일" sheetId="54" r:id="rId22"/>
    <sheet name="22일" sheetId="55" r:id="rId23"/>
    <sheet name="23일" sheetId="56" r:id="rId24"/>
    <sheet name="24일" sheetId="57" r:id="rId25"/>
    <sheet name="25일" sheetId="58" r:id="rId26"/>
    <sheet name="26일" sheetId="59" r:id="rId27"/>
    <sheet name="27일" sheetId="60" r:id="rId28"/>
    <sheet name="28일" sheetId="61" r:id="rId29"/>
    <sheet name="29일" sheetId="62" r:id="rId30"/>
    <sheet name="30일" sheetId="63" r:id="rId31"/>
    <sheet name="31일" sheetId="64" r:id="rId32"/>
  </sheets>
  <definedNames>
    <definedName name="_xlnm.Print_Area" localSheetId="10">'10일'!$A$1:$AX$36</definedName>
    <definedName name="_xlnm.Print_Area" localSheetId="11">'11일'!$A$1:$AX$37</definedName>
    <definedName name="_xlnm.Print_Area" localSheetId="12">'12일'!$A$1:$AX$37</definedName>
    <definedName name="_xlnm.Print_Area" localSheetId="13">'13일'!$A$1:$AX$37</definedName>
    <definedName name="_xlnm.Print_Area" localSheetId="14">'14일'!$A$1:$AX$37</definedName>
    <definedName name="_xlnm.Print_Area" localSheetId="15">'15일'!$A$1:$AX$37</definedName>
    <definedName name="_xlnm.Print_Area" localSheetId="16">'16일'!$A$1:$AX$37</definedName>
    <definedName name="_xlnm.Print_Area" localSheetId="17">'17일'!$A$1:$AX$37</definedName>
    <definedName name="_xlnm.Print_Area" localSheetId="18">'18일'!$A$1:$AX$37</definedName>
    <definedName name="_xlnm.Print_Area" localSheetId="19">'19일'!$A$1:$AX$37</definedName>
    <definedName name="_xlnm.Print_Area" localSheetId="1">'1일'!$A$1:$AX$37</definedName>
    <definedName name="_xlnm.Print_Area" localSheetId="20">'20일'!$A$1:$AX$37</definedName>
    <definedName name="_xlnm.Print_Area" localSheetId="21">'21일'!$A$1:$AX$37</definedName>
    <definedName name="_xlnm.Print_Area" localSheetId="22">'22일'!$A$1:$AX$37</definedName>
    <definedName name="_xlnm.Print_Area" localSheetId="23">'23일'!$A$1:$AX$37</definedName>
    <definedName name="_xlnm.Print_Area" localSheetId="24">'24일'!$A$1:$AX$37</definedName>
    <definedName name="_xlnm.Print_Area" localSheetId="25">'25일'!$A$1:$AX$37</definedName>
    <definedName name="_xlnm.Print_Area" localSheetId="26">'26일'!$A$1:$AX$37</definedName>
    <definedName name="_xlnm.Print_Area" localSheetId="27">'27일'!$A$1:$AX$37</definedName>
    <definedName name="_xlnm.Print_Area" localSheetId="28">'28일'!$A$1:$AX$37</definedName>
    <definedName name="_xlnm.Print_Area" localSheetId="29">'29일'!$A$1:$AX$37</definedName>
    <definedName name="_xlnm.Print_Area" localSheetId="2">'2일'!$A$1:$AX$36</definedName>
    <definedName name="_xlnm.Print_Area" localSheetId="30">'30일'!$A$1:$AX$37</definedName>
    <definedName name="_xlnm.Print_Area" localSheetId="31">'31일'!$A$1:$AX$39</definedName>
    <definedName name="_xlnm.Print_Area" localSheetId="3">'3일'!$A$1:$AX$37</definedName>
    <definedName name="_xlnm.Print_Area" localSheetId="4">'4일'!$A$1:$AX$37</definedName>
    <definedName name="_xlnm.Print_Area" localSheetId="5">'5일'!$A$1:$AX$37</definedName>
    <definedName name="_xlnm.Print_Area" localSheetId="6">'6일'!$A$1:$AX$37</definedName>
    <definedName name="_xlnm.Print_Area" localSheetId="7">'7일'!$A$1:$AX$37</definedName>
    <definedName name="_xlnm.Print_Area" localSheetId="8">'8일'!$A$1:$AX$37</definedName>
    <definedName name="_xlnm.Print_Area" localSheetId="9">'9일'!$A$1:$AX$37</definedName>
    <definedName name="_xlnm.Print_Area" localSheetId="0">전월말일!$A$1:$AW$35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2" l="1"/>
  <c r="I20" i="12"/>
  <c r="H29" i="64" l="1"/>
  <c r="H29" i="63"/>
  <c r="H29" i="62"/>
  <c r="H29" i="61"/>
  <c r="H29" i="60"/>
  <c r="H29" i="59"/>
  <c r="H29" i="58"/>
  <c r="H29" i="57"/>
  <c r="H29" i="56"/>
  <c r="H29" i="55"/>
  <c r="H29" i="54"/>
  <c r="H29" i="53"/>
  <c r="H29" i="52"/>
  <c r="H29" i="51"/>
  <c r="H29" i="49"/>
  <c r="H29" i="47"/>
  <c r="H29" i="46"/>
  <c r="H29" i="45"/>
  <c r="H29" i="43"/>
  <c r="H29" i="42"/>
  <c r="H29" i="19"/>
  <c r="H29" i="18"/>
  <c r="H29" i="17"/>
  <c r="H29" i="16"/>
  <c r="H29" i="14"/>
  <c r="H29" i="13"/>
  <c r="H29" i="12"/>
  <c r="H29" i="15"/>
  <c r="H29" i="10"/>
  <c r="H29" i="9"/>
  <c r="H29" i="4"/>
  <c r="I14" i="64"/>
  <c r="W35" i="52"/>
  <c r="W36" i="52" s="1"/>
  <c r="P36" i="52"/>
  <c r="I14" i="18"/>
  <c r="W35" i="16"/>
  <c r="W36" i="16" s="1"/>
  <c r="P36" i="16"/>
  <c r="N29" i="1"/>
  <c r="H33" i="1"/>
  <c r="AR33" i="1" l="1"/>
  <c r="AL33" i="1"/>
  <c r="AF33" i="1"/>
  <c r="Z33" i="1"/>
  <c r="T33" i="1"/>
  <c r="R29" i="1"/>
  <c r="P29" i="1"/>
  <c r="H34" i="1"/>
  <c r="N33" i="1" l="1"/>
  <c r="U20" i="64"/>
  <c r="O25" i="64" s="1"/>
  <c r="I22" i="64"/>
  <c r="I20" i="64"/>
  <c r="W35" i="64"/>
  <c r="W37" i="64" s="1"/>
  <c r="P37" i="64"/>
  <c r="AR29" i="64"/>
  <c r="AL29" i="64"/>
  <c r="AF29" i="64"/>
  <c r="Y15" i="64"/>
  <c r="P36" i="58" l="1"/>
  <c r="P36" i="63" l="1"/>
  <c r="P36" i="62"/>
  <c r="P36" i="61"/>
  <c r="P36" i="60"/>
  <c r="P36" i="59"/>
  <c r="P36" i="57"/>
  <c r="P36" i="55"/>
  <c r="P36" i="54"/>
  <c r="P36" i="53"/>
  <c r="P36" i="51"/>
  <c r="W35" i="47"/>
  <c r="P36" i="49" l="1"/>
  <c r="P36" i="47"/>
  <c r="P36" i="46"/>
  <c r="P36" i="45"/>
  <c r="P36" i="43"/>
  <c r="P35" i="9"/>
  <c r="P36" i="42"/>
  <c r="Y15" i="19" l="1"/>
  <c r="AR29" i="63" l="1"/>
  <c r="AL29" i="63"/>
  <c r="I14" i="63"/>
  <c r="AR29" i="62"/>
  <c r="AL29" i="62"/>
  <c r="I14" i="62"/>
  <c r="AR29" i="61"/>
  <c r="AL29" i="61"/>
  <c r="I14" i="61"/>
  <c r="AR29" i="60"/>
  <c r="AL29" i="60"/>
  <c r="I14" i="60"/>
  <c r="AR29" i="59"/>
  <c r="AL29" i="59"/>
  <c r="I14" i="59"/>
  <c r="AR29" i="58"/>
  <c r="AL29" i="58"/>
  <c r="I14" i="58"/>
  <c r="AR29" i="57"/>
  <c r="AL29" i="57"/>
  <c r="I14" i="57"/>
  <c r="AR29" i="56"/>
  <c r="AL29" i="56"/>
  <c r="I14" i="56"/>
  <c r="AR29" i="55"/>
  <c r="AL29" i="55"/>
  <c r="I14" i="55"/>
  <c r="AR29" i="54"/>
  <c r="AL29" i="54"/>
  <c r="I14" i="54"/>
  <c r="AR29" i="53"/>
  <c r="AL29" i="53"/>
  <c r="I14" i="53"/>
  <c r="AR29" i="52"/>
  <c r="AL29" i="52"/>
  <c r="I14" i="52"/>
  <c r="AR29" i="51"/>
  <c r="AL29" i="51"/>
  <c r="I14" i="51"/>
  <c r="AR29" i="49"/>
  <c r="AL29" i="49"/>
  <c r="I14" i="49"/>
  <c r="AR29" i="47"/>
  <c r="AL29" i="47"/>
  <c r="I14" i="47"/>
  <c r="AR29" i="46"/>
  <c r="AL29" i="46"/>
  <c r="I14" i="46"/>
  <c r="AR29" i="45"/>
  <c r="AL29" i="45"/>
  <c r="I14" i="45"/>
  <c r="AR29" i="43"/>
  <c r="AL29" i="43"/>
  <c r="I14" i="43"/>
  <c r="AR29" i="42"/>
  <c r="AL29" i="42"/>
  <c r="I14" i="42"/>
  <c r="AR29" i="19"/>
  <c r="AL29" i="19"/>
  <c r="I14" i="19"/>
  <c r="AR29" i="18"/>
  <c r="AL29" i="18"/>
  <c r="AR29" i="17"/>
  <c r="AL29" i="17"/>
  <c r="I14" i="17"/>
  <c r="AR29" i="16"/>
  <c r="AL29" i="16"/>
  <c r="I14" i="16"/>
  <c r="AR29" i="14"/>
  <c r="AL29" i="14"/>
  <c r="I14" i="14"/>
  <c r="AR29" i="13"/>
  <c r="AL29" i="13"/>
  <c r="I14" i="13"/>
  <c r="AR29" i="12"/>
  <c r="AL29" i="12"/>
  <c r="I14" i="12"/>
  <c r="AR29" i="15"/>
  <c r="AL29" i="15"/>
  <c r="I14" i="15"/>
  <c r="AR29" i="10"/>
  <c r="AL29" i="10"/>
  <c r="I14" i="10"/>
  <c r="AR29" i="9"/>
  <c r="AL29" i="9"/>
  <c r="U20" i="9"/>
  <c r="O25" i="9" s="1"/>
  <c r="I14" i="9"/>
  <c r="AR29" i="4"/>
  <c r="AL29" i="4"/>
  <c r="Q20" i="4"/>
  <c r="I14" i="4"/>
  <c r="I16" i="1"/>
  <c r="Q16" i="1" s="1"/>
  <c r="AJ35" i="4" l="1"/>
  <c r="I20" i="51" l="1"/>
  <c r="AJ34" i="9" l="1"/>
  <c r="AJ35" i="10" s="1"/>
  <c r="AJ35" i="15" s="1"/>
  <c r="AJ35" i="12" s="1"/>
  <c r="AJ35" i="13" s="1"/>
  <c r="AJ35" i="14" s="1"/>
  <c r="AJ36" i="4"/>
  <c r="AJ35" i="9" s="1"/>
  <c r="AJ36" i="10" s="1"/>
  <c r="AJ36" i="15" s="1"/>
  <c r="AJ36" i="12" s="1"/>
  <c r="AJ36" i="13" s="1"/>
  <c r="AJ36" i="14" s="1"/>
  <c r="AJ36" i="16" s="1"/>
  <c r="AJ35" i="16" l="1"/>
  <c r="AJ35" i="17" s="1"/>
  <c r="AJ34" i="18" s="1"/>
  <c r="AJ35" i="19" s="1"/>
  <c r="AJ35" i="42" s="1"/>
  <c r="AJ35" i="43" s="1"/>
  <c r="AJ35" i="45" s="1"/>
  <c r="AJ35" i="46" s="1"/>
  <c r="AJ35" i="47" s="1"/>
  <c r="AJ35" i="49" s="1"/>
  <c r="AJ35" i="51" s="1"/>
  <c r="AJ36" i="17"/>
  <c r="AJ35" i="18" s="1"/>
  <c r="AJ36" i="19" s="1"/>
  <c r="AJ36" i="42" s="1"/>
  <c r="AJ36" i="43" s="1"/>
  <c r="AJ36" i="45" s="1"/>
  <c r="AJ36" i="46" s="1"/>
  <c r="AJ36" i="47" s="1"/>
  <c r="AJ36" i="49" s="1"/>
  <c r="AJ36" i="51" s="1"/>
  <c r="N34" i="1"/>
  <c r="AJ35" i="52" l="1"/>
  <c r="AJ35" i="53" s="1"/>
  <c r="AJ35" i="54" s="1"/>
  <c r="AJ35" i="55" s="1"/>
  <c r="AJ35" i="56" s="1"/>
  <c r="AJ35" i="57" s="1"/>
  <c r="AJ35" i="58" s="1"/>
  <c r="AJ35" i="59" s="1"/>
  <c r="AJ35" i="60" s="1"/>
  <c r="AJ35" i="61" s="1"/>
  <c r="AJ35" i="62" s="1"/>
  <c r="AJ35" i="63" s="1"/>
  <c r="AJ35" i="64" s="1"/>
  <c r="AJ36" i="52"/>
  <c r="AJ36" i="53" s="1"/>
  <c r="AJ36" i="54" s="1"/>
  <c r="AJ36" i="55" s="1"/>
  <c r="AJ36" i="56" s="1"/>
  <c r="AJ36" i="57" s="1"/>
  <c r="AJ36" i="58" s="1"/>
  <c r="AJ36" i="59" s="1"/>
  <c r="AJ36" i="60" s="1"/>
  <c r="AJ36" i="61" s="1"/>
  <c r="AJ36" i="62" s="1"/>
  <c r="AJ36" i="63" s="1"/>
  <c r="AJ37" i="64" s="1"/>
  <c r="AS23" i="1"/>
  <c r="I20" i="16" l="1"/>
  <c r="AF29" i="18" l="1"/>
  <c r="I20" i="61" l="1"/>
  <c r="W35" i="63" l="1"/>
  <c r="W35" i="53" l="1"/>
  <c r="W35" i="51"/>
  <c r="AF29" i="63"/>
  <c r="I22" i="63"/>
  <c r="M22" i="64" s="1"/>
  <c r="U20" i="63"/>
  <c r="O25" i="63" s="1"/>
  <c r="I20" i="63"/>
  <c r="M20" i="64" s="1"/>
  <c r="Z29" i="64" s="1"/>
  <c r="AF29" i="62"/>
  <c r="I22" i="62"/>
  <c r="M22" i="63" s="1"/>
  <c r="U20" i="62"/>
  <c r="O25" i="62" s="1"/>
  <c r="I20" i="62"/>
  <c r="M20" i="63" s="1"/>
  <c r="Z29" i="63" s="1"/>
  <c r="AF29" i="61"/>
  <c r="I22" i="61"/>
  <c r="M22" i="62" s="1"/>
  <c r="U20" i="61"/>
  <c r="O25" i="61" s="1"/>
  <c r="M20" i="62"/>
  <c r="Z29" i="62" s="1"/>
  <c r="AF29" i="60"/>
  <c r="I22" i="60"/>
  <c r="M22" i="61" s="1"/>
  <c r="U20" i="60"/>
  <c r="O25" i="60" s="1"/>
  <c r="I20" i="60"/>
  <c r="M20" i="61" s="1"/>
  <c r="Z29" i="61" s="1"/>
  <c r="AF29" i="59"/>
  <c r="I22" i="59"/>
  <c r="M22" i="60" s="1"/>
  <c r="U20" i="59"/>
  <c r="O25" i="59" s="1"/>
  <c r="I20" i="59"/>
  <c r="M20" i="60" s="1"/>
  <c r="Z29" i="60" s="1"/>
  <c r="AF29" i="58"/>
  <c r="I22" i="58"/>
  <c r="M22" i="59" s="1"/>
  <c r="U20" i="58"/>
  <c r="O25" i="58" s="1"/>
  <c r="I20" i="58"/>
  <c r="M20" i="59" s="1"/>
  <c r="Z29" i="59" s="1"/>
  <c r="AF29" i="57"/>
  <c r="I22" i="57"/>
  <c r="M22" i="58" s="1"/>
  <c r="U20" i="57"/>
  <c r="O25" i="57" s="1"/>
  <c r="I20" i="57"/>
  <c r="M20" i="58" s="1"/>
  <c r="Z29" i="58" s="1"/>
  <c r="AF29" i="56"/>
  <c r="I22" i="56"/>
  <c r="M22" i="57" s="1"/>
  <c r="U20" i="56"/>
  <c r="O25" i="56" s="1"/>
  <c r="I20" i="56"/>
  <c r="M20" i="57" s="1"/>
  <c r="Z29" i="57" s="1"/>
  <c r="AF29" i="55"/>
  <c r="I22" i="55"/>
  <c r="M22" i="56" s="1"/>
  <c r="U20" i="55"/>
  <c r="O25" i="55" s="1"/>
  <c r="I20" i="55"/>
  <c r="M20" i="56" s="1"/>
  <c r="Z29" i="56" s="1"/>
  <c r="AF29" i="54"/>
  <c r="I22" i="54"/>
  <c r="M22" i="55" s="1"/>
  <c r="U20" i="54"/>
  <c r="O25" i="54" s="1"/>
  <c r="I20" i="54"/>
  <c r="M20" i="55" s="1"/>
  <c r="Z29" i="55" s="1"/>
  <c r="AF29" i="53"/>
  <c r="I22" i="53"/>
  <c r="M22" i="54" s="1"/>
  <c r="U20" i="53"/>
  <c r="O25" i="53" s="1"/>
  <c r="I20" i="53"/>
  <c r="M20" i="54" s="1"/>
  <c r="Z29" i="54" s="1"/>
  <c r="AF29" i="52"/>
  <c r="I22" i="52"/>
  <c r="M22" i="53" s="1"/>
  <c r="U20" i="52"/>
  <c r="O25" i="52" s="1"/>
  <c r="I20" i="52"/>
  <c r="M20" i="53" s="1"/>
  <c r="Z29" i="53" s="1"/>
  <c r="AF29" i="51"/>
  <c r="I22" i="51"/>
  <c r="M22" i="52" s="1"/>
  <c r="U20" i="51"/>
  <c r="O25" i="51" s="1"/>
  <c r="M20" i="52"/>
  <c r="Z29" i="52" s="1"/>
  <c r="AF29" i="49"/>
  <c r="I22" i="49"/>
  <c r="M22" i="51" s="1"/>
  <c r="U20" i="49"/>
  <c r="O25" i="49" s="1"/>
  <c r="I20" i="49"/>
  <c r="M20" i="51" s="1"/>
  <c r="Z29" i="51" s="1"/>
  <c r="AF29" i="47"/>
  <c r="I22" i="47"/>
  <c r="M22" i="49" s="1"/>
  <c r="U20" i="47"/>
  <c r="O25" i="47" s="1"/>
  <c r="I20" i="47"/>
  <c r="M20" i="49" s="1"/>
  <c r="Z29" i="49" s="1"/>
  <c r="AF29" i="46"/>
  <c r="I22" i="46"/>
  <c r="M22" i="47" s="1"/>
  <c r="U20" i="46"/>
  <c r="O25" i="46" s="1"/>
  <c r="I20" i="46"/>
  <c r="M20" i="47" s="1"/>
  <c r="Z29" i="47" s="1"/>
  <c r="AF29" i="45"/>
  <c r="I22" i="45"/>
  <c r="M22" i="46" s="1"/>
  <c r="U20" i="45"/>
  <c r="O25" i="45" s="1"/>
  <c r="I20" i="45"/>
  <c r="M20" i="46" s="1"/>
  <c r="Z29" i="46" s="1"/>
  <c r="AF29" i="43"/>
  <c r="I22" i="43"/>
  <c r="M22" i="45" s="1"/>
  <c r="U20" i="43"/>
  <c r="O25" i="43" s="1"/>
  <c r="I20" i="43"/>
  <c r="M20" i="45" s="1"/>
  <c r="Z29" i="45" s="1"/>
  <c r="AF29" i="42"/>
  <c r="I22" i="42"/>
  <c r="M22" i="43" s="1"/>
  <c r="U20" i="42"/>
  <c r="O25" i="42" s="1"/>
  <c r="I20" i="42"/>
  <c r="M20" i="43" s="1"/>
  <c r="Z29" i="43" s="1"/>
  <c r="AF29" i="19"/>
  <c r="I22" i="19"/>
  <c r="M22" i="42" s="1"/>
  <c r="U20" i="19"/>
  <c r="O25" i="19" s="1"/>
  <c r="I20" i="19"/>
  <c r="M20" i="42" s="1"/>
  <c r="Z29" i="42" s="1"/>
  <c r="I22" i="18"/>
  <c r="M22" i="19" s="1"/>
  <c r="U20" i="18"/>
  <c r="O25" i="18" s="1"/>
  <c r="I20" i="18"/>
  <c r="M20" i="19" s="1"/>
  <c r="Z29" i="19" s="1"/>
  <c r="AF29" i="17"/>
  <c r="I22" i="17"/>
  <c r="M22" i="18" s="1"/>
  <c r="U20" i="17"/>
  <c r="O25" i="17" s="1"/>
  <c r="I20" i="17"/>
  <c r="M20" i="18" s="1"/>
  <c r="Z29" i="18" s="1"/>
  <c r="AF29" i="16"/>
  <c r="I22" i="16"/>
  <c r="M22" i="17" s="1"/>
  <c r="U20" i="16"/>
  <c r="O25" i="16" s="1"/>
  <c r="M20" i="17"/>
  <c r="Z29" i="17" s="1"/>
  <c r="AO38" i="14"/>
  <c r="P36" i="14"/>
  <c r="AF29" i="14"/>
  <c r="I22" i="14"/>
  <c r="M22" i="16" s="1"/>
  <c r="U20" i="14"/>
  <c r="O25" i="14" s="1"/>
  <c r="I20" i="14"/>
  <c r="M20" i="16" s="1"/>
  <c r="Z29" i="16" s="1"/>
  <c r="P36" i="13"/>
  <c r="AF29" i="13"/>
  <c r="I22" i="13"/>
  <c r="M22" i="14" s="1"/>
  <c r="U20" i="13"/>
  <c r="O25" i="13" s="1"/>
  <c r="I20" i="13"/>
  <c r="M20" i="14" s="1"/>
  <c r="Z29" i="14" s="1"/>
  <c r="AF29" i="12"/>
  <c r="M22" i="13"/>
  <c r="U20" i="12"/>
  <c r="O25" i="12" s="1"/>
  <c r="M20" i="13"/>
  <c r="Z29" i="13" s="1"/>
  <c r="P36" i="15"/>
  <c r="AF29" i="15"/>
  <c r="I22" i="15"/>
  <c r="M22" i="12" s="1"/>
  <c r="U20" i="15"/>
  <c r="O25" i="15" s="1"/>
  <c r="I20" i="15"/>
  <c r="M20" i="12" s="1"/>
  <c r="Z29" i="12" s="1"/>
  <c r="P36" i="10"/>
  <c r="AF29" i="10"/>
  <c r="I22" i="10"/>
  <c r="M22" i="15" s="1"/>
  <c r="U20" i="10"/>
  <c r="O25" i="10" s="1"/>
  <c r="I20" i="10"/>
  <c r="M20" i="15" s="1"/>
  <c r="Z29" i="15" s="1"/>
  <c r="AF29" i="9"/>
  <c r="I22" i="9"/>
  <c r="M22" i="10" s="1"/>
  <c r="Y20" i="10"/>
  <c r="P25" i="10" s="1"/>
  <c r="I20" i="9"/>
  <c r="M20" i="10" s="1"/>
  <c r="Z29" i="10" s="1"/>
  <c r="AF29" i="4"/>
  <c r="M22" i="4"/>
  <c r="Q20" i="9" s="1"/>
  <c r="I22" i="4"/>
  <c r="M22" i="9" s="1"/>
  <c r="AC20" i="4"/>
  <c r="Y20" i="4"/>
  <c r="U20" i="4"/>
  <c r="O25" i="4" s="1"/>
  <c r="M20" i="4"/>
  <c r="Z29" i="4" s="1"/>
  <c r="I20" i="4"/>
  <c r="M20" i="9" s="1"/>
  <c r="Z29" i="9" s="1"/>
  <c r="AI3" i="4"/>
  <c r="AI3" i="9" s="1"/>
  <c r="AR34" i="1"/>
  <c r="AL34" i="1"/>
  <c r="AL27" i="4" s="1"/>
  <c r="AF34" i="1"/>
  <c r="Z34" i="1"/>
  <c r="Z27" i="4" s="1"/>
  <c r="T34" i="1"/>
  <c r="T27" i="4" s="1"/>
  <c r="Y17" i="1"/>
  <c r="R9" i="1"/>
  <c r="AH9" i="1" s="1"/>
  <c r="B8" i="4" s="1"/>
  <c r="R25" i="4" l="1"/>
  <c r="T29" i="4"/>
  <c r="Y20" i="64"/>
  <c r="P25" i="64" s="1"/>
  <c r="Y20" i="12"/>
  <c r="P25" i="12" s="1"/>
  <c r="Q20" i="10"/>
  <c r="P25" i="4"/>
  <c r="AC20" i="9"/>
  <c r="R25" i="9" s="1"/>
  <c r="Y20" i="51"/>
  <c r="P25" i="51" s="1"/>
  <c r="Y20" i="15"/>
  <c r="P25" i="15" s="1"/>
  <c r="Y20" i="58"/>
  <c r="P25" i="58" s="1"/>
  <c r="Y20" i="56"/>
  <c r="P25" i="56" s="1"/>
  <c r="Y20" i="55"/>
  <c r="P25" i="55" s="1"/>
  <c r="Y20" i="54"/>
  <c r="P25" i="54" s="1"/>
  <c r="Y20" i="53"/>
  <c r="P25" i="53" s="1"/>
  <c r="Y20" i="45"/>
  <c r="P25" i="45" s="1"/>
  <c r="Y20" i="42"/>
  <c r="P25" i="42" s="1"/>
  <c r="Y20" i="19"/>
  <c r="P25" i="19" s="1"/>
  <c r="Y20" i="17"/>
  <c r="P25" i="17" s="1"/>
  <c r="Y20" i="16"/>
  <c r="P25" i="16" s="1"/>
  <c r="Y20" i="13"/>
  <c r="P25" i="13" s="1"/>
  <c r="N29" i="4"/>
  <c r="T30" i="4"/>
  <c r="T27" i="9" s="1"/>
  <c r="W35" i="45"/>
  <c r="Y15" i="62"/>
  <c r="W35" i="55"/>
  <c r="W36" i="55" s="1"/>
  <c r="W35" i="58"/>
  <c r="W36" i="58" s="1"/>
  <c r="W35" i="61"/>
  <c r="Y15" i="12"/>
  <c r="W35" i="17"/>
  <c r="W36" i="17" s="1"/>
  <c r="W34" i="9"/>
  <c r="W35" i="10"/>
  <c r="W36" i="10" s="1"/>
  <c r="Y15" i="15"/>
  <c r="Y15" i="60"/>
  <c r="W35" i="57"/>
  <c r="Y15" i="53"/>
  <c r="Y15" i="49"/>
  <c r="Y15" i="47"/>
  <c r="Y15" i="46"/>
  <c r="Y20" i="52"/>
  <c r="P25" i="52" s="1"/>
  <c r="W35" i="42"/>
  <c r="Y15" i="18"/>
  <c r="Y20" i="18"/>
  <c r="P25" i="18" s="1"/>
  <c r="Y15" i="63"/>
  <c r="N27" i="4"/>
  <c r="AR27" i="4"/>
  <c r="AL30" i="4"/>
  <c r="AL27" i="9" s="1"/>
  <c r="AL30" i="9" s="1"/>
  <c r="AL27" i="10" s="1"/>
  <c r="AL30" i="10" s="1"/>
  <c r="AL27" i="15" s="1"/>
  <c r="AL30" i="15" s="1"/>
  <c r="AL27" i="12" s="1"/>
  <c r="AL30" i="12" s="1"/>
  <c r="AL27" i="13" s="1"/>
  <c r="AL30" i="13" s="1"/>
  <c r="AL27" i="14" s="1"/>
  <c r="AL30" i="14" s="1"/>
  <c r="AL27" i="16" s="1"/>
  <c r="AL30" i="16" s="1"/>
  <c r="AL27" i="17" s="1"/>
  <c r="AL30" i="17" s="1"/>
  <c r="AL27" i="18" s="1"/>
  <c r="AL30" i="18" s="1"/>
  <c r="AL27" i="19" s="1"/>
  <c r="AL30" i="19" s="1"/>
  <c r="AL27" i="42" s="1"/>
  <c r="AL30" i="42" s="1"/>
  <c r="AL27" i="43" s="1"/>
  <c r="AL30" i="43" s="1"/>
  <c r="AL27" i="45" s="1"/>
  <c r="AL30" i="45" s="1"/>
  <c r="AL27" i="46" s="1"/>
  <c r="AL30" i="46" s="1"/>
  <c r="AL27" i="47" s="1"/>
  <c r="AL30" i="47" s="1"/>
  <c r="AL27" i="49" s="1"/>
  <c r="AL30" i="49" s="1"/>
  <c r="AL27" i="51" s="1"/>
  <c r="AF27" i="4"/>
  <c r="Z30" i="4"/>
  <c r="Z27" i="9" s="1"/>
  <c r="H27" i="4"/>
  <c r="AH16" i="1"/>
  <c r="R8" i="4"/>
  <c r="AH8" i="4" s="1"/>
  <c r="AS20" i="4" s="1"/>
  <c r="AG20" i="4" s="1"/>
  <c r="AC20" i="15"/>
  <c r="AC20" i="13"/>
  <c r="R25" i="13" s="1"/>
  <c r="Y20" i="47"/>
  <c r="P25" i="47" s="1"/>
  <c r="Y20" i="46"/>
  <c r="P25" i="46" s="1"/>
  <c r="Y20" i="61"/>
  <c r="P25" i="61" s="1"/>
  <c r="Y20" i="9"/>
  <c r="P25" i="9" s="1"/>
  <c r="Y20" i="60"/>
  <c r="P25" i="60" s="1"/>
  <c r="Y20" i="63"/>
  <c r="Y20" i="14"/>
  <c r="P25" i="14" s="1"/>
  <c r="Y20" i="43"/>
  <c r="P25" i="43" s="1"/>
  <c r="Y20" i="49"/>
  <c r="P25" i="49" s="1"/>
  <c r="AI3" i="10"/>
  <c r="W36" i="63"/>
  <c r="Y20" i="62"/>
  <c r="P25" i="62" s="1"/>
  <c r="Y20" i="59"/>
  <c r="P25" i="59" s="1"/>
  <c r="Y15" i="57"/>
  <c r="W35" i="56"/>
  <c r="Y15" i="56"/>
  <c r="Y20" i="57"/>
  <c r="P25" i="57" s="1"/>
  <c r="Y15" i="42"/>
  <c r="P25" i="63" l="1"/>
  <c r="AC20" i="64"/>
  <c r="AC20" i="43"/>
  <c r="R25" i="43" s="1"/>
  <c r="N29" i="43" s="1"/>
  <c r="AC20" i="18"/>
  <c r="R25" i="18" s="1"/>
  <c r="N29" i="18" s="1"/>
  <c r="AC20" i="17"/>
  <c r="R25" i="17" s="1"/>
  <c r="N29" i="17" s="1"/>
  <c r="AC20" i="14"/>
  <c r="R25" i="14" s="1"/>
  <c r="N29" i="14" s="1"/>
  <c r="AC20" i="12"/>
  <c r="T29" i="12" s="1"/>
  <c r="AC20" i="59"/>
  <c r="R25" i="59" s="1"/>
  <c r="N29" i="59" s="1"/>
  <c r="AC20" i="55"/>
  <c r="R25" i="55" s="1"/>
  <c r="N29" i="55" s="1"/>
  <c r="AC20" i="54"/>
  <c r="R25" i="54" s="1"/>
  <c r="N29" i="54" s="1"/>
  <c r="Z30" i="9"/>
  <c r="Z27" i="10" s="1"/>
  <c r="Z30" i="10" s="1"/>
  <c r="AC20" i="46"/>
  <c r="T29" i="46" s="1"/>
  <c r="R25" i="15"/>
  <c r="N29" i="15" s="1"/>
  <c r="T29" i="15"/>
  <c r="AC20" i="42"/>
  <c r="R25" i="42" s="1"/>
  <c r="N29" i="42" s="1"/>
  <c r="AL30" i="51"/>
  <c r="AL27" i="52" s="1"/>
  <c r="AL30" i="52" s="1"/>
  <c r="AL27" i="53" s="1"/>
  <c r="AL30" i="53" s="1"/>
  <c r="AL27" i="54" s="1"/>
  <c r="AL30" i="54" s="1"/>
  <c r="AL27" i="55" s="1"/>
  <c r="AL30" i="55" s="1"/>
  <c r="AL27" i="56" s="1"/>
  <c r="AL30" i="56" s="1"/>
  <c r="AL27" i="57" s="1"/>
  <c r="AL30" i="57" s="1"/>
  <c r="AL27" i="58" s="1"/>
  <c r="AL30" i="58" s="1"/>
  <c r="AL27" i="59" s="1"/>
  <c r="AL30" i="59" s="1"/>
  <c r="AL27" i="60" s="1"/>
  <c r="AL30" i="60" s="1"/>
  <c r="AL27" i="61" s="1"/>
  <c r="AL30" i="61" s="1"/>
  <c r="AL27" i="62" s="1"/>
  <c r="AL30" i="62" s="1"/>
  <c r="AL27" i="63" s="1"/>
  <c r="AL30" i="63" s="1"/>
  <c r="AL27" i="64" s="1"/>
  <c r="AL30" i="64" s="1"/>
  <c r="AC20" i="57"/>
  <c r="AC20" i="56"/>
  <c r="R25" i="56" s="1"/>
  <c r="AC20" i="53"/>
  <c r="R25" i="53" s="1"/>
  <c r="AC20" i="52"/>
  <c r="R25" i="52" s="1"/>
  <c r="T29" i="43"/>
  <c r="N29" i="13"/>
  <c r="T29" i="13"/>
  <c r="T29" i="9"/>
  <c r="N29" i="9"/>
  <c r="Y15" i="4"/>
  <c r="W35" i="54"/>
  <c r="W36" i="54" s="1"/>
  <c r="Y15" i="45"/>
  <c r="W35" i="4"/>
  <c r="W35" i="12"/>
  <c r="Q20" i="15"/>
  <c r="Q20" i="12" s="1"/>
  <c r="Q20" i="13" s="1"/>
  <c r="W36" i="45"/>
  <c r="W36" i="42"/>
  <c r="Y15" i="10"/>
  <c r="AC20" i="51"/>
  <c r="W35" i="60"/>
  <c r="B14" i="4"/>
  <c r="W36" i="57"/>
  <c r="W35" i="49"/>
  <c r="W36" i="49" s="1"/>
  <c r="W35" i="15"/>
  <c r="W36" i="15" s="1"/>
  <c r="Y15" i="16"/>
  <c r="W35" i="19"/>
  <c r="W36" i="19" s="1"/>
  <c r="AC20" i="49"/>
  <c r="R25" i="49" s="1"/>
  <c r="AC20" i="19"/>
  <c r="Y15" i="54"/>
  <c r="W36" i="47"/>
  <c r="W35" i="62"/>
  <c r="W36" i="62" s="1"/>
  <c r="W36" i="61"/>
  <c r="Y15" i="61"/>
  <c r="AC20" i="61"/>
  <c r="R25" i="61" s="1"/>
  <c r="AC20" i="45"/>
  <c r="Y15" i="58"/>
  <c r="W35" i="14"/>
  <c r="Y15" i="14"/>
  <c r="AY12" i="14" s="1"/>
  <c r="Y15" i="9"/>
  <c r="W35" i="9"/>
  <c r="H30" i="4"/>
  <c r="H27" i="9" s="1"/>
  <c r="H30" i="9" s="1"/>
  <c r="H27" i="10" s="1"/>
  <c r="H30" i="10" s="1"/>
  <c r="H27" i="15" s="1"/>
  <c r="H30" i="15" s="1"/>
  <c r="H27" i="12" s="1"/>
  <c r="H30" i="12" s="1"/>
  <c r="H27" i="13" s="1"/>
  <c r="H30" i="13" s="1"/>
  <c r="H27" i="14" s="1"/>
  <c r="H30" i="14" s="1"/>
  <c r="H27" i="16" s="1"/>
  <c r="H30" i="16" s="1"/>
  <c r="B8" i="9"/>
  <c r="R8" i="9" s="1"/>
  <c r="AH8" i="9" s="1"/>
  <c r="AY21" i="9" s="1"/>
  <c r="AY8" i="4"/>
  <c r="Y15" i="13"/>
  <c r="W35" i="13"/>
  <c r="AR30" i="4"/>
  <c r="AR27" i="9" s="1"/>
  <c r="AR30" i="9" s="1"/>
  <c r="AR27" i="10" s="1"/>
  <c r="AR30" i="10" s="1"/>
  <c r="AR27" i="15" s="1"/>
  <c r="AR30" i="15" s="1"/>
  <c r="AR27" i="12" s="1"/>
  <c r="AR30" i="12" s="1"/>
  <c r="AR27" i="13" s="1"/>
  <c r="AR30" i="13" s="1"/>
  <c r="AR27" i="14" s="1"/>
  <c r="AR30" i="14" s="1"/>
  <c r="AR27" i="16" s="1"/>
  <c r="AR30" i="16" s="1"/>
  <c r="AR27" i="17" s="1"/>
  <c r="AR30" i="17" s="1"/>
  <c r="AR27" i="18" s="1"/>
  <c r="AR30" i="18" s="1"/>
  <c r="AR27" i="19" s="1"/>
  <c r="AR30" i="19" s="1"/>
  <c r="AR27" i="42" s="1"/>
  <c r="AR30" i="42" s="1"/>
  <c r="AR27" i="43" s="1"/>
  <c r="AR30" i="43" s="1"/>
  <c r="AR27" i="45" s="1"/>
  <c r="AR30" i="45" s="1"/>
  <c r="AR27" i="46" s="1"/>
  <c r="AR30" i="46" s="1"/>
  <c r="AR27" i="47" s="1"/>
  <c r="AR30" i="47" s="1"/>
  <c r="AR27" i="49" s="1"/>
  <c r="AR30" i="49" s="1"/>
  <c r="AR27" i="51" s="1"/>
  <c r="AF30" i="4"/>
  <c r="AF27" i="9" s="1"/>
  <c r="AF30" i="9" s="1"/>
  <c r="AF27" i="10" s="1"/>
  <c r="AF30" i="10" s="1"/>
  <c r="AF27" i="15" s="1"/>
  <c r="AF30" i="15" s="1"/>
  <c r="AF27" i="12" s="1"/>
  <c r="AF30" i="12" s="1"/>
  <c r="AF27" i="13" s="1"/>
  <c r="AF30" i="13" s="1"/>
  <c r="AF27" i="14" s="1"/>
  <c r="AF30" i="14" s="1"/>
  <c r="AF27" i="16" s="1"/>
  <c r="AF30" i="16" s="1"/>
  <c r="AF27" i="17" s="1"/>
  <c r="AF30" i="17" s="1"/>
  <c r="AF27" i="18" s="1"/>
  <c r="AF30" i="18" s="1"/>
  <c r="AF27" i="19" s="1"/>
  <c r="AF30" i="19" s="1"/>
  <c r="AF27" i="42" s="1"/>
  <c r="AF30" i="42" s="1"/>
  <c r="AF27" i="43" s="1"/>
  <c r="AF30" i="43" s="1"/>
  <c r="AF27" i="45" s="1"/>
  <c r="AF30" i="45" s="1"/>
  <c r="AF27" i="46" s="1"/>
  <c r="AF30" i="46" s="1"/>
  <c r="AF27" i="47" s="1"/>
  <c r="AF30" i="47" s="1"/>
  <c r="AF27" i="49" s="1"/>
  <c r="AF30" i="49" s="1"/>
  <c r="AF27" i="51" s="1"/>
  <c r="AF30" i="51" s="1"/>
  <c r="AF27" i="52" s="1"/>
  <c r="AF30" i="52" s="1"/>
  <c r="AF27" i="53" s="1"/>
  <c r="AF30" i="53" s="1"/>
  <c r="AF27" i="54" s="1"/>
  <c r="AF30" i="54" s="1"/>
  <c r="AF27" i="55" s="1"/>
  <c r="AF30" i="55" s="1"/>
  <c r="AF27" i="56" s="1"/>
  <c r="AF30" i="56" s="1"/>
  <c r="AF27" i="57" s="1"/>
  <c r="AF30" i="57" s="1"/>
  <c r="AF27" i="58" s="1"/>
  <c r="AF30" i="58" s="1"/>
  <c r="AF27" i="59" s="1"/>
  <c r="AF30" i="59" s="1"/>
  <c r="AF27" i="60" s="1"/>
  <c r="AF30" i="60" s="1"/>
  <c r="AF27" i="61" s="1"/>
  <c r="AF30" i="61" s="1"/>
  <c r="AF27" i="62" s="1"/>
  <c r="AF30" i="62" s="1"/>
  <c r="AF27" i="63" s="1"/>
  <c r="AF30" i="63" s="1"/>
  <c r="AF27" i="64" s="1"/>
  <c r="AF30" i="64" s="1"/>
  <c r="AZ18" i="4"/>
  <c r="AC20" i="10"/>
  <c r="N30" i="4"/>
  <c r="N27" i="9" s="1"/>
  <c r="AC20" i="16"/>
  <c r="R25" i="16" s="1"/>
  <c r="AC20" i="63"/>
  <c r="R25" i="63" s="1"/>
  <c r="AC20" i="47"/>
  <c r="AC20" i="62"/>
  <c r="R25" i="62" s="1"/>
  <c r="N29" i="62" s="1"/>
  <c r="AI3" i="12"/>
  <c r="AI3" i="64" s="1"/>
  <c r="AI3" i="15"/>
  <c r="AC20" i="60"/>
  <c r="R25" i="60" s="1"/>
  <c r="Y15" i="59"/>
  <c r="W35" i="59"/>
  <c r="W36" i="56"/>
  <c r="AC20" i="58"/>
  <c r="R25" i="58" s="1"/>
  <c r="Y15" i="55"/>
  <c r="Y15" i="51"/>
  <c r="Y15" i="52"/>
  <c r="W35" i="46"/>
  <c r="W35" i="43"/>
  <c r="Y15" i="43"/>
  <c r="W34" i="18"/>
  <c r="Y15" i="17"/>
  <c r="T29" i="55" l="1"/>
  <c r="T29" i="18"/>
  <c r="T29" i="17"/>
  <c r="T29" i="14"/>
  <c r="R25" i="12"/>
  <c r="N29" i="12" s="1"/>
  <c r="R25" i="64"/>
  <c r="N29" i="64" s="1"/>
  <c r="T29" i="64"/>
  <c r="T29" i="59"/>
  <c r="T29" i="54"/>
  <c r="R25" i="46"/>
  <c r="N29" i="46" s="1"/>
  <c r="R25" i="57"/>
  <c r="N29" i="57" s="1"/>
  <c r="T29" i="57"/>
  <c r="R25" i="51"/>
  <c r="N29" i="51" s="1"/>
  <c r="T29" i="51"/>
  <c r="R25" i="10"/>
  <c r="N29" i="10" s="1"/>
  <c r="T29" i="10"/>
  <c r="Q20" i="14"/>
  <c r="Q20" i="16" s="1"/>
  <c r="Q20" i="17" s="1"/>
  <c r="Q20" i="18" s="1"/>
  <c r="Q20" i="19" s="1"/>
  <c r="Q20" i="42" s="1"/>
  <c r="Q20" i="43" s="1"/>
  <c r="Q20" i="45" s="1"/>
  <c r="Q20" i="46" s="1"/>
  <c r="Q20" i="47" s="1"/>
  <c r="Q20" i="49" s="1"/>
  <c r="Q20" i="51" s="1"/>
  <c r="Q20" i="52" s="1"/>
  <c r="Q20" i="53" s="1"/>
  <c r="Q20" i="54" s="1"/>
  <c r="Q20" i="55" s="1"/>
  <c r="Q20" i="56" s="1"/>
  <c r="Q20" i="57" s="1"/>
  <c r="Q20" i="58" s="1"/>
  <c r="Q20" i="59" s="1"/>
  <c r="Q20" i="60" s="1"/>
  <c r="Q20" i="61" s="1"/>
  <c r="Q20" i="62" s="1"/>
  <c r="Q20" i="63" s="1"/>
  <c r="Q20" i="64" s="1"/>
  <c r="T29" i="42"/>
  <c r="AR30" i="51"/>
  <c r="AR27" i="52" s="1"/>
  <c r="AR30" i="52" s="1"/>
  <c r="AR27" i="53" s="1"/>
  <c r="AR30" i="53" s="1"/>
  <c r="AR27" i="54" s="1"/>
  <c r="AR30" i="54" s="1"/>
  <c r="AR27" i="55" s="1"/>
  <c r="AR30" i="55" s="1"/>
  <c r="AR27" i="56" s="1"/>
  <c r="AR30" i="56" s="1"/>
  <c r="AR27" i="57" s="1"/>
  <c r="AR30" i="57" s="1"/>
  <c r="AR27" i="58" s="1"/>
  <c r="AR30" i="58" s="1"/>
  <c r="AR27" i="59" s="1"/>
  <c r="AR30" i="59" s="1"/>
  <c r="AR27" i="60" s="1"/>
  <c r="AR30" i="60" s="1"/>
  <c r="AR27" i="61" s="1"/>
  <c r="AR30" i="61" s="1"/>
  <c r="AR27" i="62" s="1"/>
  <c r="AR30" i="62" s="1"/>
  <c r="AR27" i="63" s="1"/>
  <c r="AR30" i="63" s="1"/>
  <c r="AR27" i="64" s="1"/>
  <c r="AR30" i="64" s="1"/>
  <c r="T29" i="63"/>
  <c r="N29" i="63"/>
  <c r="T29" i="62"/>
  <c r="T29" i="61"/>
  <c r="N29" i="61"/>
  <c r="T29" i="60"/>
  <c r="N29" i="60"/>
  <c r="T29" i="58"/>
  <c r="N29" i="58"/>
  <c r="T29" i="56"/>
  <c r="N29" i="56"/>
  <c r="T29" i="53"/>
  <c r="N29" i="53"/>
  <c r="T29" i="52"/>
  <c r="N29" i="52"/>
  <c r="T29" i="49"/>
  <c r="N29" i="49"/>
  <c r="T29" i="47"/>
  <c r="R25" i="47"/>
  <c r="N29" i="47" s="1"/>
  <c r="T29" i="45"/>
  <c r="R25" i="45"/>
  <c r="N29" i="45" s="1"/>
  <c r="T29" i="19"/>
  <c r="R25" i="19"/>
  <c r="N29" i="19" s="1"/>
  <c r="H27" i="17"/>
  <c r="H30" i="17" s="1"/>
  <c r="T29" i="16"/>
  <c r="N29" i="16"/>
  <c r="T30" i="9"/>
  <c r="T27" i="10" s="1"/>
  <c r="W36" i="4"/>
  <c r="AQ36" i="4" s="1"/>
  <c r="I35" i="9" s="1"/>
  <c r="AQ35" i="9" s="1"/>
  <c r="AQ35" i="4"/>
  <c r="I34" i="9" s="1"/>
  <c r="AQ34" i="9" s="1"/>
  <c r="W36" i="12"/>
  <c r="Q14" i="4"/>
  <c r="AH14" i="4" s="1"/>
  <c r="B14" i="9" s="1"/>
  <c r="Q14" i="9" s="1"/>
  <c r="AH14" i="9" s="1"/>
  <c r="B14" i="10" s="1"/>
  <c r="Q14" i="10" s="1"/>
  <c r="AH14" i="10" s="1"/>
  <c r="B14" i="15" s="1"/>
  <c r="Q14" i="15" s="1"/>
  <c r="AH14" i="15" s="1"/>
  <c r="B14" i="12" s="1"/>
  <c r="Q14" i="12" s="1"/>
  <c r="AH14" i="12" s="1"/>
  <c r="B14" i="13" s="1"/>
  <c r="Q14" i="13" s="1"/>
  <c r="AH14" i="13" s="1"/>
  <c r="B14" i="14" s="1"/>
  <c r="Q14" i="14" s="1"/>
  <c r="AH14" i="14" s="1"/>
  <c r="B14" i="16" s="1"/>
  <c r="Q14" i="16" s="1"/>
  <c r="AH14" i="16" s="1"/>
  <c r="B14" i="17" s="1"/>
  <c r="Q14" i="17" s="1"/>
  <c r="AH14" i="17" s="1"/>
  <c r="W36" i="60"/>
  <c r="B8" i="10"/>
  <c r="W36" i="53"/>
  <c r="W36" i="14"/>
  <c r="AY8" i="9"/>
  <c r="AS20" i="9"/>
  <c r="AG20" i="9" s="1"/>
  <c r="AY22" i="9" s="1"/>
  <c r="W36" i="13"/>
  <c r="N30" i="9"/>
  <c r="N27" i="10" s="1"/>
  <c r="Z27" i="15"/>
  <c r="Z30" i="15" s="1"/>
  <c r="AI3" i="61"/>
  <c r="AI3" i="49"/>
  <c r="AI3" i="18"/>
  <c r="AI3" i="46"/>
  <c r="AI3" i="17"/>
  <c r="AI3" i="16"/>
  <c r="AI3" i="47"/>
  <c r="AI3" i="60"/>
  <c r="AI3" i="59"/>
  <c r="AI3" i="45"/>
  <c r="AI3" i="43"/>
  <c r="AI3" i="63"/>
  <c r="AI3" i="58"/>
  <c r="AI3" i="52"/>
  <c r="AI3" i="42"/>
  <c r="AI3" i="14"/>
  <c r="AI3" i="13"/>
  <c r="AI3" i="57"/>
  <c r="AI3" i="56"/>
  <c r="AI3" i="55"/>
  <c r="AI3" i="62"/>
  <c r="AI3" i="51"/>
  <c r="AI3" i="19"/>
  <c r="AI3" i="54"/>
  <c r="AI3" i="53"/>
  <c r="W36" i="59"/>
  <c r="W36" i="51"/>
  <c r="W36" i="46"/>
  <c r="W36" i="43"/>
  <c r="W35" i="18"/>
  <c r="T30" i="10" l="1"/>
  <c r="T27" i="15" s="1"/>
  <c r="T30" i="15" s="1"/>
  <c r="T27" i="12" s="1"/>
  <c r="T30" i="12" s="1"/>
  <c r="T27" i="13" s="1"/>
  <c r="T30" i="13" s="1"/>
  <c r="T27" i="14" s="1"/>
  <c r="T30" i="14" s="1"/>
  <c r="T27" i="16" s="1"/>
  <c r="T30" i="16" s="1"/>
  <c r="T27" i="17" s="1"/>
  <c r="T30" i="17" s="1"/>
  <c r="T27" i="18" s="1"/>
  <c r="T30" i="18" s="1"/>
  <c r="T27" i="19" s="1"/>
  <c r="T30" i="19" s="1"/>
  <c r="T27" i="42" s="1"/>
  <c r="T30" i="42" s="1"/>
  <c r="T27" i="43" s="1"/>
  <c r="T30" i="43" s="1"/>
  <c r="T27" i="45" s="1"/>
  <c r="T30" i="45" s="1"/>
  <c r="T27" i="46" s="1"/>
  <c r="T30" i="46" s="1"/>
  <c r="T27" i="47" s="1"/>
  <c r="T30" i="47" s="1"/>
  <c r="T27" i="49" s="1"/>
  <c r="T30" i="49" s="1"/>
  <c r="T27" i="51" s="1"/>
  <c r="T30" i="51" s="1"/>
  <c r="T27" i="52" s="1"/>
  <c r="T30" i="52" s="1"/>
  <c r="T27" i="53" s="1"/>
  <c r="T30" i="53" s="1"/>
  <c r="T27" i="54" s="1"/>
  <c r="T30" i="54" s="1"/>
  <c r="T27" i="55" s="1"/>
  <c r="T30" i="55" s="1"/>
  <c r="T27" i="56" s="1"/>
  <c r="T30" i="56" s="1"/>
  <c r="T27" i="57" s="1"/>
  <c r="T30" i="57" s="1"/>
  <c r="T27" i="58" s="1"/>
  <c r="T30" i="58" s="1"/>
  <c r="T27" i="59" s="1"/>
  <c r="T30" i="59" s="1"/>
  <c r="T27" i="60" s="1"/>
  <c r="T30" i="60" s="1"/>
  <c r="T27" i="61" s="1"/>
  <c r="T30" i="61" s="1"/>
  <c r="T27" i="62" s="1"/>
  <c r="T30" i="62" s="1"/>
  <c r="T27" i="63" s="1"/>
  <c r="H27" i="18"/>
  <c r="H30" i="18" s="1"/>
  <c r="H27" i="19" s="1"/>
  <c r="H30" i="19" s="1"/>
  <c r="H27" i="42" s="1"/>
  <c r="H30" i="42" s="1"/>
  <c r="H27" i="43" s="1"/>
  <c r="H30" i="43" s="1"/>
  <c r="H27" i="45" s="1"/>
  <c r="H30" i="45" s="1"/>
  <c r="H27" i="46" s="1"/>
  <c r="H30" i="46" s="1"/>
  <c r="H27" i="47" s="1"/>
  <c r="H30" i="47" s="1"/>
  <c r="H27" i="49" s="1"/>
  <c r="H30" i="49" s="1"/>
  <c r="H27" i="51" s="1"/>
  <c r="H30" i="51" s="1"/>
  <c r="H27" i="52" s="1"/>
  <c r="H30" i="52" s="1"/>
  <c r="H27" i="53" s="1"/>
  <c r="H30" i="53" s="1"/>
  <c r="H27" i="54" s="1"/>
  <c r="H30" i="54" s="1"/>
  <c r="H27" i="55" s="1"/>
  <c r="H30" i="55" s="1"/>
  <c r="H27" i="56" s="1"/>
  <c r="H30" i="56" s="1"/>
  <c r="H27" i="57" s="1"/>
  <c r="H30" i="57" s="1"/>
  <c r="H27" i="58" s="1"/>
  <c r="H30" i="58" s="1"/>
  <c r="H27" i="59" s="1"/>
  <c r="H30" i="59" s="1"/>
  <c r="H27" i="60" s="1"/>
  <c r="H30" i="60" s="1"/>
  <c r="H27" i="61" s="1"/>
  <c r="H30" i="61" s="1"/>
  <c r="H27" i="62" s="1"/>
  <c r="H30" i="62" s="1"/>
  <c r="H27" i="63" s="1"/>
  <c r="H30" i="63" s="1"/>
  <c r="H27" i="64" s="1"/>
  <c r="H30" i="64" s="1"/>
  <c r="R8" i="10"/>
  <c r="AH8" i="10" s="1"/>
  <c r="B14" i="18"/>
  <c r="Q14" i="18" s="1"/>
  <c r="AH14" i="18" s="1"/>
  <c r="B14" i="19" s="1"/>
  <c r="Q14" i="19" s="1"/>
  <c r="AH14" i="19" s="1"/>
  <c r="B14" i="42" s="1"/>
  <c r="Q14" i="42" s="1"/>
  <c r="AH14" i="42" s="1"/>
  <c r="B14" i="43" s="1"/>
  <c r="Q14" i="43" s="1"/>
  <c r="AH14" i="43" s="1"/>
  <c r="B14" i="45" s="1"/>
  <c r="Q14" i="45" s="1"/>
  <c r="AH14" i="45" s="1"/>
  <c r="I35" i="10"/>
  <c r="AQ35" i="10" s="1"/>
  <c r="I36" i="10"/>
  <c r="AQ36" i="10" s="1"/>
  <c r="N30" i="10"/>
  <c r="N27" i="15" s="1"/>
  <c r="N30" i="15" s="1"/>
  <c r="N27" i="12" s="1"/>
  <c r="N30" i="12" s="1"/>
  <c r="N27" i="13" s="1"/>
  <c r="N30" i="13" s="1"/>
  <c r="N27" i="14" s="1"/>
  <c r="N30" i="14" s="1"/>
  <c r="N27" i="16" s="1"/>
  <c r="N30" i="16" s="1"/>
  <c r="N27" i="17" s="1"/>
  <c r="N30" i="17" s="1"/>
  <c r="N27" i="18" s="1"/>
  <c r="N30" i="18" s="1"/>
  <c r="N27" i="19" s="1"/>
  <c r="N30" i="19" s="1"/>
  <c r="N27" i="42" s="1"/>
  <c r="N30" i="42" s="1"/>
  <c r="N27" i="43" s="1"/>
  <c r="N30" i="43" s="1"/>
  <c r="N27" i="45" s="1"/>
  <c r="N30" i="45" s="1"/>
  <c r="N27" i="46" s="1"/>
  <c r="N30" i="46" s="1"/>
  <c r="N27" i="47" s="1"/>
  <c r="N30" i="47" s="1"/>
  <c r="N27" i="49" s="1"/>
  <c r="N30" i="49" s="1"/>
  <c r="N27" i="51" s="1"/>
  <c r="N30" i="51" s="1"/>
  <c r="N27" i="52" s="1"/>
  <c r="N30" i="52" s="1"/>
  <c r="N27" i="53" s="1"/>
  <c r="N30" i="53" s="1"/>
  <c r="N27" i="54" s="1"/>
  <c r="N30" i="54" s="1"/>
  <c r="N27" i="55" s="1"/>
  <c r="N30" i="55" s="1"/>
  <c r="N27" i="56" s="1"/>
  <c r="N30" i="56" s="1"/>
  <c r="N27" i="57" s="1"/>
  <c r="N30" i="57" s="1"/>
  <c r="N27" i="58" s="1"/>
  <c r="N30" i="58" s="1"/>
  <c r="N27" i="59" s="1"/>
  <c r="N30" i="59" s="1"/>
  <c r="N27" i="60" s="1"/>
  <c r="N30" i="60" s="1"/>
  <c r="N27" i="61" s="1"/>
  <c r="N30" i="61" s="1"/>
  <c r="N27" i="62" s="1"/>
  <c r="N30" i="62" s="1"/>
  <c r="N27" i="63" s="1"/>
  <c r="N30" i="63" s="1"/>
  <c r="N27" i="64" s="1"/>
  <c r="N30" i="64" s="1"/>
  <c r="Z27" i="12"/>
  <c r="Z30" i="12" s="1"/>
  <c r="B14" i="46" l="1"/>
  <c r="Q14" i="46" s="1"/>
  <c r="AH14" i="46" s="1"/>
  <c r="B14" i="47" s="1"/>
  <c r="Q14" i="47" s="1"/>
  <c r="AH14" i="47" s="1"/>
  <c r="B14" i="49" s="1"/>
  <c r="Q14" i="49" s="1"/>
  <c r="AH14" i="49" s="1"/>
  <c r="B14" i="51" s="1"/>
  <c r="Q14" i="51" s="1"/>
  <c r="AH14" i="51" s="1"/>
  <c r="B14" i="52" s="1"/>
  <c r="Q14" i="52" s="1"/>
  <c r="AH14" i="52" s="1"/>
  <c r="B14" i="53" s="1"/>
  <c r="Q14" i="53" s="1"/>
  <c r="AH14" i="53" s="1"/>
  <c r="B14" i="54" s="1"/>
  <c r="Q14" i="54" s="1"/>
  <c r="AH14" i="54" s="1"/>
  <c r="B14" i="55" s="1"/>
  <c r="Q14" i="55" s="1"/>
  <c r="AH14" i="55" s="1"/>
  <c r="B14" i="56" s="1"/>
  <c r="Q14" i="56" s="1"/>
  <c r="AH14" i="56" s="1"/>
  <c r="B14" i="57" s="1"/>
  <c r="Q14" i="57" s="1"/>
  <c r="AH14" i="57" s="1"/>
  <c r="B14" i="58" s="1"/>
  <c r="Q14" i="58" s="1"/>
  <c r="AH14" i="58" s="1"/>
  <c r="B14" i="59" s="1"/>
  <c r="Q14" i="59" s="1"/>
  <c r="AH14" i="59" s="1"/>
  <c r="B14" i="60" s="1"/>
  <c r="Q14" i="60" s="1"/>
  <c r="AH14" i="60" s="1"/>
  <c r="B14" i="61" s="1"/>
  <c r="Q14" i="61" s="1"/>
  <c r="AH14" i="61" s="1"/>
  <c r="B14" i="62" s="1"/>
  <c r="Q14" i="62" s="1"/>
  <c r="AH14" i="62" s="1"/>
  <c r="B8" i="15"/>
  <c r="R8" i="15" s="1"/>
  <c r="AH8" i="15" s="1"/>
  <c r="B8" i="12" s="1"/>
  <c r="AS20" i="10"/>
  <c r="AY21" i="10"/>
  <c r="AG20" i="10" s="1"/>
  <c r="AY22" i="10" s="1"/>
  <c r="AY8" i="10"/>
  <c r="I35" i="15"/>
  <c r="AQ35" i="15" s="1"/>
  <c r="I36" i="15"/>
  <c r="AQ36" i="15" s="1"/>
  <c r="T30" i="63"/>
  <c r="T27" i="64" s="1"/>
  <c r="T30" i="64" s="1"/>
  <c r="Z27" i="13"/>
  <c r="Z30" i="13" s="1"/>
  <c r="B14" i="63" l="1"/>
  <c r="Q14" i="63" s="1"/>
  <c r="AH14" i="63" s="1"/>
  <c r="B14" i="64" s="1"/>
  <c r="Q14" i="64" s="1"/>
  <c r="AH14" i="64" s="1"/>
  <c r="R8" i="12"/>
  <c r="AH8" i="12" s="1"/>
  <c r="B8" i="13" s="1"/>
  <c r="R8" i="13" s="1"/>
  <c r="AY8" i="15"/>
  <c r="AS20" i="15"/>
  <c r="AY21" i="15"/>
  <c r="AG20" i="15" s="1"/>
  <c r="AY22" i="15" s="1"/>
  <c r="I35" i="12"/>
  <c r="AQ35" i="12" s="1"/>
  <c r="I35" i="13" s="1"/>
  <c r="AQ35" i="13" s="1"/>
  <c r="I36" i="12"/>
  <c r="AQ36" i="12" s="1"/>
  <c r="I36" i="13" s="1"/>
  <c r="AQ36" i="13" s="1"/>
  <c r="Z27" i="14"/>
  <c r="Z30" i="14" s="1"/>
  <c r="AS20" i="12" l="1"/>
  <c r="AY8" i="12"/>
  <c r="AY21" i="12"/>
  <c r="AG20" i="12" s="1"/>
  <c r="AY22" i="12" s="1"/>
  <c r="AH8" i="13"/>
  <c r="I35" i="14"/>
  <c r="AQ35" i="14" s="1"/>
  <c r="I35" i="16" s="1"/>
  <c r="AQ35" i="16" s="1"/>
  <c r="I36" i="14"/>
  <c r="AQ36" i="14" s="1"/>
  <c r="I36" i="16" s="1"/>
  <c r="AQ36" i="16" s="1"/>
  <c r="Z27" i="16"/>
  <c r="Z30" i="16" s="1"/>
  <c r="AY8" i="13" l="1"/>
  <c r="AS20" i="13"/>
  <c r="B8" i="14"/>
  <c r="R8" i="14" s="1"/>
  <c r="AH8" i="14" s="1"/>
  <c r="AY21" i="13"/>
  <c r="AG20" i="13" s="1"/>
  <c r="AY22" i="13" s="1"/>
  <c r="Z27" i="17"/>
  <c r="Z30" i="17" s="1"/>
  <c r="B8" i="16" l="1"/>
  <c r="R8" i="16" s="1"/>
  <c r="AH8" i="16" s="1"/>
  <c r="AS20" i="16" s="1"/>
  <c r="AY8" i="14"/>
  <c r="AS20" i="14"/>
  <c r="AY21" i="14"/>
  <c r="AG20" i="14" s="1"/>
  <c r="AY22" i="14" s="1"/>
  <c r="I35" i="17"/>
  <c r="AQ35" i="17" s="1"/>
  <c r="I36" i="17"/>
  <c r="AQ36" i="17" s="1"/>
  <c r="Z27" i="18"/>
  <c r="Z30" i="18" s="1"/>
  <c r="B8" i="17" l="1"/>
  <c r="R8" i="17" s="1"/>
  <c r="AH8" i="17" s="1"/>
  <c r="AY8" i="17" s="1"/>
  <c r="AY21" i="16"/>
  <c r="AG20" i="16" s="1"/>
  <c r="AY22" i="16" s="1"/>
  <c r="AY8" i="16"/>
  <c r="I34" i="18"/>
  <c r="AQ34" i="18" s="1"/>
  <c r="I35" i="18"/>
  <c r="AQ35" i="18" s="1"/>
  <c r="Z27" i="19"/>
  <c r="Z30" i="19" s="1"/>
  <c r="AY22" i="17" l="1"/>
  <c r="B8" i="18"/>
  <c r="R8" i="18" s="1"/>
  <c r="AH8" i="18" s="1"/>
  <c r="AY8" i="18" s="1"/>
  <c r="AY21" i="17"/>
  <c r="AG20" i="17" s="1"/>
  <c r="AS20" i="17"/>
  <c r="I35" i="19"/>
  <c r="AQ35" i="19" s="1"/>
  <c r="I36" i="19"/>
  <c r="AQ36" i="19" s="1"/>
  <c r="Z27" i="42"/>
  <c r="Z30" i="42" s="1"/>
  <c r="AY21" i="18" l="1"/>
  <c r="AG20" i="18" s="1"/>
  <c r="AY22" i="18" s="1"/>
  <c r="AS20" i="18"/>
  <c r="B8" i="19"/>
  <c r="R8" i="19" s="1"/>
  <c r="AH8" i="19" s="1"/>
  <c r="AY21" i="19" s="1"/>
  <c r="AG20" i="19" s="1"/>
  <c r="AY22" i="19" s="1"/>
  <c r="I35" i="42"/>
  <c r="AQ35" i="42" s="1"/>
  <c r="I36" i="42"/>
  <c r="AQ36" i="42" s="1"/>
  <c r="Z27" i="43"/>
  <c r="Z30" i="43" s="1"/>
  <c r="AY8" i="19" l="1"/>
  <c r="B8" i="42"/>
  <c r="R8" i="42" s="1"/>
  <c r="AH8" i="42" s="1"/>
  <c r="AY8" i="42" s="1"/>
  <c r="AS20" i="19"/>
  <c r="I35" i="43"/>
  <c r="AQ35" i="43" s="1"/>
  <c r="I36" i="43"/>
  <c r="AQ36" i="43" s="1"/>
  <c r="Z27" i="45"/>
  <c r="Z30" i="45" s="1"/>
  <c r="B8" i="43" l="1"/>
  <c r="R8" i="43" s="1"/>
  <c r="AH8" i="43" s="1"/>
  <c r="AY8" i="43" s="1"/>
  <c r="AS20" i="42"/>
  <c r="AY21" i="42"/>
  <c r="AG20" i="42" s="1"/>
  <c r="AY22" i="42" s="1"/>
  <c r="I35" i="45"/>
  <c r="AQ35" i="45" s="1"/>
  <c r="I36" i="45"/>
  <c r="AQ36" i="45" s="1"/>
  <c r="Z27" i="46"/>
  <c r="Z30" i="46" s="1"/>
  <c r="B8" i="45" l="1"/>
  <c r="R8" i="45" s="1"/>
  <c r="AH8" i="45" s="1"/>
  <c r="B8" i="46" s="1"/>
  <c r="R8" i="46" s="1"/>
  <c r="AH8" i="46" s="1"/>
  <c r="AY21" i="46" s="1"/>
  <c r="AG20" i="46" s="1"/>
  <c r="AY22" i="46" s="1"/>
  <c r="AS20" i="43"/>
  <c r="AY21" i="43"/>
  <c r="AG20" i="43" s="1"/>
  <c r="AY22" i="43" s="1"/>
  <c r="I35" i="46"/>
  <c r="AQ35" i="46" s="1"/>
  <c r="I36" i="46"/>
  <c r="AQ36" i="46" s="1"/>
  <c r="Z27" i="47"/>
  <c r="Z30" i="47" s="1"/>
  <c r="B8" i="47" l="1"/>
  <c r="R8" i="47" s="1"/>
  <c r="AH8" i="47" s="1"/>
  <c r="AY21" i="47" s="1"/>
  <c r="AG20" i="47" s="1"/>
  <c r="AY22" i="47" s="1"/>
  <c r="AY8" i="46"/>
  <c r="AY8" i="45"/>
  <c r="AY21" i="45"/>
  <c r="AG20" i="45" s="1"/>
  <c r="AY22" i="45" s="1"/>
  <c r="AS20" i="46"/>
  <c r="AS20" i="45"/>
  <c r="I35" i="47"/>
  <c r="AQ35" i="47" s="1"/>
  <c r="I36" i="47"/>
  <c r="AQ36" i="47" s="1"/>
  <c r="Z27" i="49"/>
  <c r="Z30" i="49" s="1"/>
  <c r="AY8" i="47" l="1"/>
  <c r="B8" i="49"/>
  <c r="R8" i="49" s="1"/>
  <c r="AH8" i="49" s="1"/>
  <c r="AS20" i="47"/>
  <c r="I35" i="49"/>
  <c r="AQ35" i="49" s="1"/>
  <c r="I36" i="49"/>
  <c r="AQ36" i="49" s="1"/>
  <c r="Z27" i="51"/>
  <c r="Z30" i="51" s="1"/>
  <c r="AY21" i="49" l="1"/>
  <c r="AG20" i="49" s="1"/>
  <c r="AY22" i="49" s="1"/>
  <c r="AS20" i="49"/>
  <c r="B8" i="51"/>
  <c r="R8" i="51" s="1"/>
  <c r="AH8" i="51" s="1"/>
  <c r="B8" i="52" s="1"/>
  <c r="R8" i="52" s="1"/>
  <c r="AH8" i="52" s="1"/>
  <c r="AY8" i="49"/>
  <c r="I35" i="51"/>
  <c r="AQ35" i="51" s="1"/>
  <c r="I35" i="52" s="1"/>
  <c r="AQ35" i="52" s="1"/>
  <c r="I36" i="51"/>
  <c r="AQ36" i="51" s="1"/>
  <c r="I36" i="52" s="1"/>
  <c r="AQ36" i="52" s="1"/>
  <c r="Z27" i="52"/>
  <c r="Z30" i="52" s="1"/>
  <c r="AS20" i="51" l="1"/>
  <c r="AY21" i="51"/>
  <c r="AG20" i="51" s="1"/>
  <c r="AY22" i="51" s="1"/>
  <c r="AY8" i="51"/>
  <c r="Z27" i="53"/>
  <c r="Z30" i="53" s="1"/>
  <c r="AY8" i="52"/>
  <c r="B8" i="53"/>
  <c r="R8" i="53" s="1"/>
  <c r="AH8" i="53" s="1"/>
  <c r="AY21" i="52"/>
  <c r="AG20" i="52" s="1"/>
  <c r="AY22" i="52" s="1"/>
  <c r="AS20" i="52"/>
  <c r="I35" i="53" l="1"/>
  <c r="AQ35" i="53" s="1"/>
  <c r="I36" i="53"/>
  <c r="AQ36" i="53" s="1"/>
  <c r="Z27" i="54"/>
  <c r="Z30" i="54" s="1"/>
  <c r="AY8" i="53"/>
  <c r="AY21" i="53"/>
  <c r="AG20" i="53" s="1"/>
  <c r="AY22" i="53" s="1"/>
  <c r="B8" i="54"/>
  <c r="R8" i="54" s="1"/>
  <c r="AH8" i="54" s="1"/>
  <c r="AS20" i="53"/>
  <c r="I35" i="54" l="1"/>
  <c r="AQ35" i="54" s="1"/>
  <c r="I36" i="54"/>
  <c r="AQ36" i="54" s="1"/>
  <c r="Z27" i="55"/>
  <c r="Z30" i="55" s="1"/>
  <c r="AS20" i="54"/>
  <c r="B8" i="55"/>
  <c r="R8" i="55" s="1"/>
  <c r="AH8" i="55" s="1"/>
  <c r="AY21" i="54"/>
  <c r="AG20" i="54" s="1"/>
  <c r="AY22" i="54" s="1"/>
  <c r="AY8" i="54"/>
  <c r="I35" i="55" l="1"/>
  <c r="AQ35" i="55" s="1"/>
  <c r="I36" i="55"/>
  <c r="AQ36" i="55" s="1"/>
  <c r="Z27" i="56"/>
  <c r="Z30" i="56" s="1"/>
  <c r="AY21" i="55"/>
  <c r="AG20" i="55" s="1"/>
  <c r="AY22" i="55" s="1"/>
  <c r="AS20" i="55"/>
  <c r="B8" i="56"/>
  <c r="R8" i="56" s="1"/>
  <c r="AH8" i="56" s="1"/>
  <c r="AY8" i="55"/>
  <c r="I35" i="56" l="1"/>
  <c r="AQ35" i="56" s="1"/>
  <c r="I36" i="56"/>
  <c r="AQ36" i="56" s="1"/>
  <c r="Z27" i="57"/>
  <c r="Z30" i="57" s="1"/>
  <c r="AY21" i="56"/>
  <c r="AG20" i="56" s="1"/>
  <c r="AY22" i="56" s="1"/>
  <c r="B8" i="57"/>
  <c r="R8" i="57" s="1"/>
  <c r="AH8" i="57" s="1"/>
  <c r="AS20" i="56"/>
  <c r="AY8" i="56"/>
  <c r="I35" i="57" l="1"/>
  <c r="AQ35" i="57" s="1"/>
  <c r="I36" i="57"/>
  <c r="AQ36" i="57" s="1"/>
  <c r="Z27" i="58"/>
  <c r="Z30" i="58" s="1"/>
  <c r="AY8" i="57"/>
  <c r="AY21" i="57"/>
  <c r="AG20" i="57" s="1"/>
  <c r="AY22" i="57" s="1"/>
  <c r="B8" i="58"/>
  <c r="R8" i="58" s="1"/>
  <c r="AH8" i="58" s="1"/>
  <c r="AS20" i="57"/>
  <c r="I35" i="58" l="1"/>
  <c r="AQ35" i="58" s="1"/>
  <c r="I36" i="58"/>
  <c r="AQ36" i="58" s="1"/>
  <c r="Z27" i="59"/>
  <c r="Z30" i="59" s="1"/>
  <c r="AY21" i="58"/>
  <c r="AG20" i="58" s="1"/>
  <c r="AY22" i="58" s="1"/>
  <c r="AS20" i="58"/>
  <c r="AY8" i="58"/>
  <c r="B8" i="59"/>
  <c r="R8" i="59" s="1"/>
  <c r="AH8" i="59" s="1"/>
  <c r="I35" i="59" l="1"/>
  <c r="AQ35" i="59" s="1"/>
  <c r="I36" i="59"/>
  <c r="AQ36" i="59" s="1"/>
  <c r="Z27" i="60"/>
  <c r="Z30" i="60" s="1"/>
  <c r="B8" i="60"/>
  <c r="R8" i="60" s="1"/>
  <c r="AH8" i="60" s="1"/>
  <c r="AY21" i="59"/>
  <c r="AG20" i="59" s="1"/>
  <c r="AY22" i="59" s="1"/>
  <c r="AY8" i="59"/>
  <c r="AS20" i="59"/>
  <c r="I35" i="60" l="1"/>
  <c r="AQ35" i="60" s="1"/>
  <c r="I36" i="60"/>
  <c r="AQ36" i="60" s="1"/>
  <c r="Z27" i="61"/>
  <c r="Z30" i="61" s="1"/>
  <c r="AY8" i="60"/>
  <c r="B8" i="61"/>
  <c r="R8" i="61" s="1"/>
  <c r="AH8" i="61" s="1"/>
  <c r="AY21" i="60"/>
  <c r="AG20" i="60" s="1"/>
  <c r="AY22" i="60" s="1"/>
  <c r="AS20" i="60"/>
  <c r="I35" i="61" l="1"/>
  <c r="AQ35" i="61" s="1"/>
  <c r="I36" i="61"/>
  <c r="AQ36" i="61" s="1"/>
  <c r="Z27" i="62"/>
  <c r="Z30" i="62" s="1"/>
  <c r="B8" i="62"/>
  <c r="R8" i="62" s="1"/>
  <c r="AH8" i="62" s="1"/>
  <c r="AY21" i="61"/>
  <c r="AG20" i="61" s="1"/>
  <c r="AY22" i="61" s="1"/>
  <c r="AY8" i="61"/>
  <c r="AS20" i="61"/>
  <c r="I35" i="62" l="1"/>
  <c r="AQ35" i="62" s="1"/>
  <c r="I36" i="62"/>
  <c r="AQ36" i="62" s="1"/>
  <c r="Z27" i="63"/>
  <c r="Z30" i="63" s="1"/>
  <c r="Z27" i="64" s="1"/>
  <c r="Z30" i="64" s="1"/>
  <c r="AY21" i="62"/>
  <c r="AS20" i="62"/>
  <c r="AG20" i="62" s="1"/>
  <c r="AY22" i="62" s="1"/>
  <c r="AY8" i="62"/>
  <c r="B8" i="63"/>
  <c r="R8" i="63" s="1"/>
  <c r="AH8" i="63" s="1"/>
  <c r="B8" i="64" s="1"/>
  <c r="R8" i="64" l="1"/>
  <c r="AH8" i="64" s="1"/>
  <c r="I35" i="63"/>
  <c r="AQ35" i="63" s="1"/>
  <c r="I35" i="64" s="1"/>
  <c r="AQ35" i="64" s="1"/>
  <c r="I36" i="63"/>
  <c r="AQ36" i="63" s="1"/>
  <c r="I37" i="64" s="1"/>
  <c r="AQ37" i="64" s="1"/>
  <c r="AY8" i="63"/>
  <c r="AS20" i="63"/>
  <c r="AY21" i="63"/>
  <c r="AY21" i="64" l="1"/>
  <c r="AY8" i="64"/>
  <c r="AS20" i="64"/>
  <c r="AG20" i="63"/>
  <c r="AG20" i="64" l="1"/>
  <c r="AY22" i="64" s="1"/>
  <c r="AY22" i="6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  <author>이용률</author>
  </authors>
  <commentList>
    <comment ref="J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1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이용률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1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이용률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4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5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8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8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8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A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4" authorId="0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5" authorId="0" shapeId="0" xr:uid="{00000000-0006-0000-0A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B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B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C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C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C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C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D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D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E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E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E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E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E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0F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0F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0F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0F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0F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0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0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0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0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0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1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1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1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1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2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2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2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2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2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3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3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3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3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3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4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4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4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4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4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5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5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5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5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5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6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6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6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6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6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7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7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7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7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7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8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8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8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8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8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9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9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9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9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9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A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A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A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A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A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B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B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B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B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B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C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C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C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C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C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D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D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D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D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E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E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E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6" authorId="0" shapeId="0" xr:uid="{00000000-0006-0000-1E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heobs60@daum.net</author>
  </authors>
  <commentList>
    <comment ref="J8" authorId="0" shapeId="0" xr:uid="{00000000-0006-0000-1F00-000001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Z8" authorId="0" shapeId="0" xr:uid="{00000000-0006-0000-1F00-000002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E20" authorId="0" shapeId="0" xr:uid="{00000000-0006-0000-1F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입력사항
</t>
        </r>
      </text>
    </comment>
    <comment ref="AD35" authorId="0" shapeId="0" xr:uid="{00000000-0006-0000-1F00-000004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  <comment ref="AD37" authorId="0" shapeId="0" xr:uid="{00000000-0006-0000-1F00-000005000000}">
      <text>
        <r>
          <rPr>
            <b/>
            <sz val="9"/>
            <color indexed="81"/>
            <rFont val="돋움"/>
            <family val="3"/>
            <charset val="129"/>
          </rPr>
          <t>입력사항</t>
        </r>
      </text>
    </comment>
  </commentList>
</comments>
</file>

<file path=xl/sharedStrings.xml><?xml version="1.0" encoding="utf-8"?>
<sst xmlns="http://schemas.openxmlformats.org/spreadsheetml/2006/main" count="1669" uniqueCount="68">
  <si>
    <t>현  황  일  보</t>
    <phoneticPr fontId="3" type="noConversion"/>
  </si>
  <si>
    <t>1.주료사입현황</t>
    <phoneticPr fontId="3" type="noConversion"/>
  </si>
  <si>
    <t>이월수량</t>
    <phoneticPr fontId="3" type="noConversion"/>
  </si>
  <si>
    <t>당일사입수량</t>
    <phoneticPr fontId="3" type="noConversion"/>
  </si>
  <si>
    <t>계</t>
    <phoneticPr fontId="3" type="noConversion"/>
  </si>
  <si>
    <t>동상제성수량</t>
    <phoneticPr fontId="3" type="noConversion"/>
  </si>
  <si>
    <t>당일 잔수량</t>
    <phoneticPr fontId="3" type="noConversion"/>
  </si>
  <si>
    <t>적요</t>
    <phoneticPr fontId="3" type="noConversion"/>
  </si>
  <si>
    <t>2.주류제성 및 출고현황</t>
    <phoneticPr fontId="3" type="noConversion"/>
  </si>
  <si>
    <t>당일제성수량</t>
    <phoneticPr fontId="3" type="noConversion"/>
  </si>
  <si>
    <t>당일판매수량</t>
    <phoneticPr fontId="3" type="noConversion"/>
  </si>
  <si>
    <t>3.주류제성 및 출고현황</t>
    <phoneticPr fontId="3" type="noConversion"/>
  </si>
  <si>
    <t>익일
보쌈</t>
    <phoneticPr fontId="3" type="noConversion"/>
  </si>
  <si>
    <t>보쌈</t>
    <phoneticPr fontId="3" type="noConversion"/>
  </si>
  <si>
    <t>입국</t>
    <phoneticPr fontId="3" type="noConversion"/>
  </si>
  <si>
    <t>1단</t>
    <phoneticPr fontId="3" type="noConversion"/>
  </si>
  <si>
    <t>2단
1일</t>
    <phoneticPr fontId="3" type="noConversion"/>
  </si>
  <si>
    <t>2단
2일</t>
    <phoneticPr fontId="3" type="noConversion"/>
  </si>
  <si>
    <t>3일
이상</t>
    <phoneticPr fontId="3" type="noConversion"/>
  </si>
  <si>
    <t>4일
이상</t>
    <phoneticPr fontId="3" type="noConversion"/>
  </si>
  <si>
    <t>5일
이상</t>
    <phoneticPr fontId="3" type="noConversion"/>
  </si>
  <si>
    <t>6일
이상</t>
    <phoneticPr fontId="3" type="noConversion"/>
  </si>
  <si>
    <t>1일</t>
    <phoneticPr fontId="3" type="noConversion"/>
  </si>
  <si>
    <t>2일</t>
    <phoneticPr fontId="3" type="noConversion"/>
  </si>
  <si>
    <t>4.원료 및 연료수불상황</t>
    <phoneticPr fontId="3" type="noConversion"/>
  </si>
  <si>
    <t>구분</t>
    <phoneticPr fontId="3" type="noConversion"/>
  </si>
  <si>
    <t>백미</t>
    <phoneticPr fontId="3" type="noConversion"/>
  </si>
  <si>
    <t>팽화미</t>
    <phoneticPr fontId="3" type="noConversion"/>
  </si>
  <si>
    <t>올리고당</t>
    <phoneticPr fontId="3" type="noConversion"/>
  </si>
  <si>
    <t>효모</t>
    <phoneticPr fontId="3" type="noConversion"/>
  </si>
  <si>
    <t>곡자</t>
    <phoneticPr fontId="3" type="noConversion"/>
  </si>
  <si>
    <t>감미</t>
    <phoneticPr fontId="3" type="noConversion"/>
  </si>
  <si>
    <t>구연산</t>
    <phoneticPr fontId="3" type="noConversion"/>
  </si>
  <si>
    <t>당일구입</t>
    <phoneticPr fontId="3" type="noConversion"/>
  </si>
  <si>
    <t>당일사용</t>
    <phoneticPr fontId="3" type="noConversion"/>
  </si>
  <si>
    <t>잔량</t>
    <phoneticPr fontId="3" type="noConversion"/>
  </si>
  <si>
    <t xml:space="preserve">           현  황  일  보</t>
    <phoneticPr fontId="3" type="noConversion"/>
  </si>
  <si>
    <t>6. 용기, 마개</t>
    <phoneticPr fontId="3" type="noConversion"/>
  </si>
  <si>
    <t>전일잔량</t>
    <phoneticPr fontId="3" type="noConversion"/>
  </si>
  <si>
    <t>입고</t>
    <phoneticPr fontId="3" type="noConversion"/>
  </si>
  <si>
    <t>출고</t>
    <phoneticPr fontId="3" type="noConversion"/>
  </si>
  <si>
    <t>파손</t>
    <phoneticPr fontId="3" type="noConversion"/>
  </si>
  <si>
    <t>파손재고</t>
    <phoneticPr fontId="3" type="noConversion"/>
  </si>
  <si>
    <t>금일재고</t>
    <phoneticPr fontId="3" type="noConversion"/>
  </si>
  <si>
    <t>용기</t>
    <phoneticPr fontId="3" type="noConversion"/>
  </si>
  <si>
    <t>마개</t>
    <phoneticPr fontId="3" type="noConversion"/>
  </si>
  <si>
    <t>`</t>
    <phoneticPr fontId="3" type="noConversion"/>
  </si>
  <si>
    <t xml:space="preserve"> </t>
    <phoneticPr fontId="3" type="noConversion"/>
  </si>
  <si>
    <t>곡자</t>
    <phoneticPr fontId="3" type="noConversion"/>
  </si>
  <si>
    <t xml:space="preserve">                                                     </t>
    <phoneticPr fontId="3" type="noConversion"/>
  </si>
  <si>
    <t xml:space="preserve">                                                     </t>
    <phoneticPr fontId="3" type="noConversion"/>
  </si>
  <si>
    <t>당일 잔수량</t>
    <phoneticPr fontId="3" type="noConversion"/>
  </si>
  <si>
    <t>감미</t>
    <phoneticPr fontId="3" type="noConversion"/>
  </si>
  <si>
    <t xml:space="preserve">      </t>
    <phoneticPr fontId="3" type="noConversion"/>
  </si>
  <si>
    <t xml:space="preserve">                                              </t>
    <phoneticPr fontId="3" type="noConversion"/>
  </si>
  <si>
    <t xml:space="preserve">                       </t>
    <phoneticPr fontId="3" type="noConversion"/>
  </si>
  <si>
    <t xml:space="preserve">  </t>
    <phoneticPr fontId="3" type="noConversion"/>
  </si>
  <si>
    <t xml:space="preserve">  </t>
    <phoneticPr fontId="3" type="noConversion"/>
  </si>
  <si>
    <t xml:space="preserve"> </t>
    <phoneticPr fontId="3" type="noConversion"/>
  </si>
  <si>
    <t xml:space="preserve">           현  황  일  보</t>
    <phoneticPr fontId="3" type="noConversion"/>
  </si>
  <si>
    <t>서울탁주 강동연합제조장</t>
    <phoneticPr fontId="3" type="noConversion"/>
  </si>
  <si>
    <t>당일제성수량</t>
    <phoneticPr fontId="3" type="noConversion"/>
  </si>
  <si>
    <t>당일제성수량</t>
    <phoneticPr fontId="3" type="noConversion"/>
  </si>
  <si>
    <t xml:space="preserve">                            현  황  일  보</t>
    <phoneticPr fontId="3" type="noConversion"/>
  </si>
  <si>
    <t>서 울 탁 주  강 동 연 합 제 조 장</t>
    <phoneticPr fontId="3" type="noConversion"/>
  </si>
  <si>
    <t>서 울 탁 주  강 동 연 합 제 조 장</t>
    <phoneticPr fontId="3" type="noConversion"/>
  </si>
  <si>
    <t>월계</t>
    <phoneticPr fontId="3" type="noConversion"/>
  </si>
  <si>
    <t>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</si>
</sst>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F800]dddd\,\ mmmm\ dd\,\ yyyy"/>
    <numFmt numFmtId="177" formatCode="#,##0\ &quot;병&quot;"/>
    <numFmt numFmtId="178" formatCode="#,##0\ \ℓ"/>
    <numFmt numFmtId="179" formatCode="#,##0.00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신명조"/>
      <family val="3"/>
      <charset val="129"/>
    </font>
    <font>
      <b/>
      <sz val="14"/>
      <color theme="1"/>
      <name val="맑은 고딕"/>
      <family val="2"/>
      <charset val="129"/>
      <scheme val="minor"/>
    </font>
    <font>
      <b/>
      <sz val="9"/>
      <color theme="1"/>
      <name val="신명조"/>
      <family val="3"/>
      <charset val="129"/>
    </font>
    <font>
      <b/>
      <sz val="8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b/>
      <sz val="6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신명조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8"/>
      <color theme="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0" borderId="0"/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0" xfId="0" applyFont="1">
      <alignment vertical="center"/>
    </xf>
    <xf numFmtId="0" fontId="2" fillId="0" borderId="8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9" fillId="0" borderId="0" xfId="0" applyFont="1">
      <alignment vertical="center"/>
    </xf>
    <xf numFmtId="0" fontId="21" fillId="0" borderId="17" xfId="0" applyFont="1" applyBorder="1">
      <alignment vertic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vertical="center" shrinkToFit="1"/>
    </xf>
    <xf numFmtId="0" fontId="2" fillId="0" borderId="17" xfId="0" applyFont="1" applyBorder="1">
      <alignment vertical="center"/>
    </xf>
    <xf numFmtId="176" fontId="9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11" fillId="0" borderId="14" xfId="0" applyFont="1" applyBorder="1">
      <alignment vertical="center"/>
    </xf>
    <xf numFmtId="0" fontId="0" fillId="0" borderId="24" xfId="0" applyBorder="1">
      <alignment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distributed" vertical="distributed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right"/>
    </xf>
    <xf numFmtId="176" fontId="8" fillId="0" borderId="8" xfId="0" applyNumberFormat="1" applyFont="1" applyBorder="1" applyAlignment="1">
      <alignment horizontal="right"/>
    </xf>
    <xf numFmtId="178" fontId="4" fillId="0" borderId="9" xfId="0" applyNumberFormat="1" applyFont="1" applyBorder="1" applyAlignment="1">
      <alignment horizontal="right" vertical="center"/>
    </xf>
    <xf numFmtId="177" fontId="4" fillId="0" borderId="9" xfId="1" applyNumberFormat="1" applyFont="1" applyBorder="1" applyAlignment="1">
      <alignment horizontal="right"/>
    </xf>
    <xf numFmtId="178" fontId="4" fillId="0" borderId="9" xfId="0" applyNumberFormat="1" applyFont="1" applyBorder="1" applyAlignment="1">
      <alignment horizontal="right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distributed" vertical="distributed"/>
    </xf>
    <xf numFmtId="4" fontId="4" fillId="0" borderId="9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 shrinkToFit="1"/>
    </xf>
    <xf numFmtId="4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right" vertical="center"/>
    </xf>
    <xf numFmtId="177" fontId="4" fillId="0" borderId="1" xfId="1" applyNumberFormat="1" applyFont="1" applyBorder="1" applyAlignment="1">
      <alignment horizontal="right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20" fillId="0" borderId="0" xfId="0" applyFont="1" applyAlignment="1">
      <alignment horizontal="center" vertical="center" shrinkToFit="1"/>
    </xf>
    <xf numFmtId="0" fontId="4" fillId="2" borderId="9" xfId="0" applyFont="1" applyFill="1" applyBorder="1" applyAlignment="1">
      <alignment horizontal="distributed" vertical="distributed"/>
    </xf>
    <xf numFmtId="178" fontId="4" fillId="0" borderId="23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6" fontId="17" fillId="0" borderId="0" xfId="0" applyNumberFormat="1" applyFont="1" applyAlignment="1">
      <alignment horizontal="right"/>
    </xf>
    <xf numFmtId="0" fontId="5" fillId="0" borderId="13" xfId="0" applyFont="1" applyBorder="1" applyAlignment="1">
      <alignment horizontal="center" vertical="distributed"/>
    </xf>
    <xf numFmtId="0" fontId="5" fillId="0" borderId="14" xfId="0" applyFont="1" applyBorder="1" applyAlignment="1">
      <alignment horizontal="center" vertical="distributed"/>
    </xf>
    <xf numFmtId="0" fontId="5" fillId="0" borderId="15" xfId="0" applyFont="1" applyBorder="1" applyAlignment="1">
      <alignment horizontal="center" vertical="distributed"/>
    </xf>
    <xf numFmtId="0" fontId="5" fillId="0" borderId="16" xfId="0" applyFont="1" applyBorder="1" applyAlignment="1">
      <alignment horizontal="center" vertical="distributed"/>
    </xf>
    <xf numFmtId="0" fontId="5" fillId="0" borderId="17" xfId="0" applyFont="1" applyBorder="1" applyAlignment="1">
      <alignment horizontal="center" vertical="distributed"/>
    </xf>
    <xf numFmtId="0" fontId="5" fillId="0" borderId="18" xfId="0" applyFont="1" applyBorder="1" applyAlignment="1">
      <alignment horizontal="center" vertical="distributed"/>
    </xf>
    <xf numFmtId="0" fontId="4" fillId="0" borderId="10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right"/>
    </xf>
    <xf numFmtId="0" fontId="2" fillId="0" borderId="9" xfId="0" applyFont="1" applyBorder="1" applyAlignment="1">
      <alignment horizontal="right" vertical="center"/>
    </xf>
    <xf numFmtId="41" fontId="4" fillId="3" borderId="9" xfId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top"/>
    </xf>
    <xf numFmtId="0" fontId="23" fillId="0" borderId="17" xfId="0" applyFont="1" applyBorder="1" applyAlignment="1">
      <alignment horizontal="center" vertical="top"/>
    </xf>
    <xf numFmtId="0" fontId="16" fillId="0" borderId="0" xfId="0" applyFont="1" applyAlignment="1">
      <alignment horizontal="center" vertical="center" wrapText="1"/>
    </xf>
    <xf numFmtId="41" fontId="2" fillId="0" borderId="0" xfId="1" applyFont="1" applyBorder="1" applyAlignment="1">
      <alignment horizontal="center" vertical="center"/>
    </xf>
    <xf numFmtId="179" fontId="4" fillId="0" borderId="9" xfId="0" applyNumberFormat="1" applyFont="1" applyBorder="1" applyAlignment="1">
      <alignment horizontal="right" vertical="center"/>
    </xf>
    <xf numFmtId="177" fontId="4" fillId="0" borderId="19" xfId="1" applyNumberFormat="1" applyFont="1" applyBorder="1" applyAlignment="1">
      <alignment horizontal="right"/>
    </xf>
    <xf numFmtId="178" fontId="4" fillId="0" borderId="12" xfId="0" applyNumberFormat="1" applyFont="1" applyBorder="1" applyAlignment="1">
      <alignment horizontal="right"/>
    </xf>
    <xf numFmtId="0" fontId="21" fillId="3" borderId="17" xfId="0" applyFont="1" applyFill="1" applyBorder="1" applyAlignment="1">
      <alignment horizontal="center" vertical="center"/>
    </xf>
    <xf numFmtId="41" fontId="4" fillId="0" borderId="21" xfId="1" applyFont="1" applyBorder="1" applyAlignment="1">
      <alignment horizontal="center" vertical="center"/>
    </xf>
    <xf numFmtId="41" fontId="4" fillId="0" borderId="22" xfId="1" applyFont="1" applyBorder="1" applyAlignment="1">
      <alignment horizontal="center" vertical="center"/>
    </xf>
    <xf numFmtId="41" fontId="4" fillId="0" borderId="23" xfId="1" applyFont="1" applyBorder="1" applyAlignment="1">
      <alignment horizontal="center" vertical="center"/>
    </xf>
    <xf numFmtId="41" fontId="0" fillId="0" borderId="20" xfId="1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4" fillId="0" borderId="14" xfId="0" applyFont="1" applyBorder="1" applyAlignment="1">
      <alignment horizontal="center" vertical="top"/>
    </xf>
    <xf numFmtId="0" fontId="20" fillId="0" borderId="17" xfId="0" applyFont="1" applyBorder="1" applyAlignment="1">
      <alignment horizontal="center" vertical="center" shrinkToFit="1"/>
    </xf>
    <xf numFmtId="3" fontId="4" fillId="0" borderId="21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right" vertical="center"/>
    </xf>
  </cellXfs>
  <cellStyles count="10">
    <cellStyle name="백분율 2" xfId="9" xr:uid="{00000000-0005-0000-0000-000000000000}"/>
    <cellStyle name="쉼표 [0]" xfId="1" builtinId="6"/>
    <cellStyle name="쉼표 [0] 2" xfId="3" xr:uid="{00000000-0005-0000-0000-000002000000}"/>
    <cellStyle name="쉼표 [0] 3" xfId="8" xr:uid="{00000000-0005-0000-0000-000003000000}"/>
    <cellStyle name="표준" xfId="0" builtinId="0"/>
    <cellStyle name="표준 2" xfId="2" xr:uid="{00000000-0005-0000-0000-000005000000}"/>
    <cellStyle name="표준 2 2" xfId="5" xr:uid="{00000000-0005-0000-0000-000006000000}"/>
    <cellStyle name="표준 3" xfId="4" xr:uid="{00000000-0005-0000-0000-000007000000}"/>
    <cellStyle name="표준 4" xfId="6" xr:uid="{00000000-0005-0000-0000-000008000000}"/>
    <cellStyle name="표준 5" xfId="7" xr:uid="{00000000-0005-0000-0000-000009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AW39"/>
  <sheetViews>
    <sheetView tabSelected="1" zoomScaleNormal="100" zoomScaleSheetLayoutView="85" workbookViewId="0">
      <selection activeCell="AZ16" sqref="AZ16"/>
    </sheetView>
  </sheetViews>
  <sheetFormatPr defaultRowHeight="16.5"/>
  <cols>
    <col min="1" max="2" width="1.625" customWidth="1"/>
    <col min="3" max="3" width="1.5" customWidth="1"/>
    <col min="4" max="49" width="1.625" customWidth="1"/>
  </cols>
  <sheetData>
    <row r="1" spans="1:49">
      <c r="A1" s="29" t="s">
        <v>60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49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</row>
    <row r="3" spans="1:49">
      <c r="A3" s="30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2">
        <v>46112</v>
      </c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3"/>
    </row>
    <row r="4" spans="1:49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3"/>
    </row>
    <row r="5" spans="1:49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/>
    </row>
    <row r="6" spans="1:49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6"/>
    </row>
    <row r="7" spans="1:49">
      <c r="A7" s="4"/>
      <c r="B7" s="25" t="s">
        <v>2</v>
      </c>
      <c r="C7" s="25"/>
      <c r="D7" s="25"/>
      <c r="E7" s="25"/>
      <c r="F7" s="25"/>
      <c r="G7" s="25"/>
      <c r="H7" s="25"/>
      <c r="I7" s="25"/>
      <c r="J7" s="25" t="s">
        <v>3</v>
      </c>
      <c r="K7" s="25"/>
      <c r="L7" s="25"/>
      <c r="M7" s="25"/>
      <c r="N7" s="25"/>
      <c r="O7" s="25"/>
      <c r="P7" s="25"/>
      <c r="Q7" s="25"/>
      <c r="R7" s="25" t="s">
        <v>4</v>
      </c>
      <c r="S7" s="25"/>
      <c r="T7" s="25"/>
      <c r="U7" s="25"/>
      <c r="V7" s="25"/>
      <c r="W7" s="25"/>
      <c r="X7" s="25"/>
      <c r="Y7" s="25"/>
      <c r="Z7" s="25" t="s">
        <v>5</v>
      </c>
      <c r="AA7" s="25"/>
      <c r="AB7" s="25"/>
      <c r="AC7" s="25"/>
      <c r="AD7" s="25"/>
      <c r="AE7" s="25"/>
      <c r="AF7" s="25"/>
      <c r="AG7" s="25"/>
      <c r="AH7" s="25" t="s">
        <v>6</v>
      </c>
      <c r="AI7" s="25"/>
      <c r="AJ7" s="25"/>
      <c r="AK7" s="25"/>
      <c r="AL7" s="25"/>
      <c r="AM7" s="25"/>
      <c r="AN7" s="25"/>
      <c r="AO7" s="25"/>
      <c r="AP7" s="25" t="s">
        <v>7</v>
      </c>
      <c r="AQ7" s="25"/>
      <c r="AR7" s="25"/>
      <c r="AS7" s="25"/>
      <c r="AT7" s="25"/>
      <c r="AU7" s="25"/>
      <c r="AV7" s="25"/>
      <c r="AW7" s="25"/>
    </row>
    <row r="8" spans="1:49">
      <c r="A8" s="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pans="1:49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>
        <f>B9+J9</f>
        <v>0</v>
      </c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>
        <f>R9-Z9</f>
        <v>0</v>
      </c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</row>
    <row r="10" spans="1:49">
      <c r="A10" s="4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6"/>
      <c r="AQ10" s="26"/>
      <c r="AR10" s="26"/>
      <c r="AS10" s="26"/>
      <c r="AT10" s="26"/>
      <c r="AU10" s="26"/>
      <c r="AV10" s="26"/>
      <c r="AW10" s="26"/>
    </row>
    <row r="11" spans="1:49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6"/>
    </row>
    <row r="12" spans="1:49">
      <c r="A12" s="4"/>
      <c r="B12" s="5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6"/>
    </row>
    <row r="13" spans="1:49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6"/>
    </row>
    <row r="14" spans="1:49">
      <c r="A14" s="4"/>
      <c r="B14" s="25" t="s">
        <v>2</v>
      </c>
      <c r="C14" s="25"/>
      <c r="D14" s="25"/>
      <c r="E14" s="25"/>
      <c r="F14" s="25"/>
      <c r="G14" s="25"/>
      <c r="H14" s="25"/>
      <c r="I14" s="25" t="s">
        <v>9</v>
      </c>
      <c r="J14" s="25"/>
      <c r="K14" s="25"/>
      <c r="L14" s="25"/>
      <c r="M14" s="25"/>
      <c r="N14" s="25"/>
      <c r="O14" s="25"/>
      <c r="P14" s="25"/>
      <c r="Q14" s="25" t="s">
        <v>4</v>
      </c>
      <c r="R14" s="25"/>
      <c r="S14" s="25"/>
      <c r="T14" s="25"/>
      <c r="U14" s="25"/>
      <c r="V14" s="25"/>
      <c r="W14" s="25"/>
      <c r="X14" s="25"/>
      <c r="Y14" s="25" t="s">
        <v>10</v>
      </c>
      <c r="Z14" s="25"/>
      <c r="AA14" s="25"/>
      <c r="AB14" s="25"/>
      <c r="AC14" s="25"/>
      <c r="AD14" s="25"/>
      <c r="AE14" s="25"/>
      <c r="AF14" s="25"/>
      <c r="AG14" s="25"/>
      <c r="AH14" s="25" t="s">
        <v>6</v>
      </c>
      <c r="AI14" s="25"/>
      <c r="AJ14" s="25"/>
      <c r="AK14" s="25"/>
      <c r="AL14" s="25"/>
      <c r="AM14" s="25"/>
      <c r="AN14" s="25"/>
      <c r="AO14" s="25"/>
      <c r="AP14" s="25" t="s">
        <v>7</v>
      </c>
      <c r="AQ14" s="25"/>
      <c r="AR14" s="25"/>
      <c r="AS14" s="25"/>
      <c r="AT14" s="25"/>
      <c r="AU14" s="25"/>
      <c r="AV14" s="25"/>
      <c r="AW14" s="25"/>
    </row>
    <row r="15" spans="1:49">
      <c r="A15" s="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</row>
    <row r="16" spans="1:49" ht="20.100000000000001" customHeight="1">
      <c r="A16" s="4"/>
      <c r="B16" s="34"/>
      <c r="C16" s="34"/>
      <c r="D16" s="34"/>
      <c r="E16" s="34"/>
      <c r="F16" s="34"/>
      <c r="G16" s="34"/>
      <c r="H16" s="34"/>
      <c r="I16" s="34">
        <f>Z9*4910</f>
        <v>0</v>
      </c>
      <c r="J16" s="34"/>
      <c r="K16" s="34"/>
      <c r="L16" s="34"/>
      <c r="M16" s="34"/>
      <c r="N16" s="34"/>
      <c r="O16" s="34"/>
      <c r="P16" s="34"/>
      <c r="Q16" s="34">
        <f>B16+I16</f>
        <v>0</v>
      </c>
      <c r="R16" s="27"/>
      <c r="S16" s="27"/>
      <c r="T16" s="27"/>
      <c r="U16" s="27"/>
      <c r="V16" s="27"/>
      <c r="W16" s="27"/>
      <c r="X16" s="27"/>
      <c r="Y16" s="35"/>
      <c r="Z16" s="35"/>
      <c r="AA16" s="35"/>
      <c r="AB16" s="35"/>
      <c r="AC16" s="35"/>
      <c r="AD16" s="35"/>
      <c r="AE16" s="35"/>
      <c r="AF16" s="35"/>
      <c r="AG16" s="35"/>
      <c r="AH16" s="34">
        <f>Q16-Y17</f>
        <v>0</v>
      </c>
      <c r="AI16" s="34"/>
      <c r="AJ16" s="34"/>
      <c r="AK16" s="34"/>
      <c r="AL16" s="34"/>
      <c r="AM16" s="34"/>
      <c r="AN16" s="34"/>
      <c r="AO16" s="34"/>
      <c r="AP16" s="28"/>
      <c r="AQ16" s="28"/>
      <c r="AR16" s="28"/>
      <c r="AS16" s="28"/>
      <c r="AT16" s="28"/>
      <c r="AU16" s="28"/>
      <c r="AV16" s="28"/>
      <c r="AW16" s="28"/>
    </row>
    <row r="17" spans="1:49" ht="20.100000000000001" customHeight="1">
      <c r="A17" s="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27"/>
      <c r="R17" s="27"/>
      <c r="S17" s="27"/>
      <c r="T17" s="27"/>
      <c r="U17" s="27"/>
      <c r="V17" s="27"/>
      <c r="W17" s="27"/>
      <c r="X17" s="27"/>
      <c r="Y17" s="36">
        <f>Y16*0.75</f>
        <v>0</v>
      </c>
      <c r="Z17" s="36"/>
      <c r="AA17" s="36"/>
      <c r="AB17" s="36"/>
      <c r="AC17" s="36"/>
      <c r="AD17" s="36"/>
      <c r="AE17" s="36"/>
      <c r="AF17" s="36"/>
      <c r="AG17" s="36"/>
      <c r="AH17" s="34"/>
      <c r="AI17" s="34"/>
      <c r="AJ17" s="34"/>
      <c r="AK17" s="34"/>
      <c r="AL17" s="34"/>
      <c r="AM17" s="34"/>
      <c r="AN17" s="34"/>
      <c r="AO17" s="34"/>
      <c r="AP17" s="28"/>
      <c r="AQ17" s="28"/>
      <c r="AR17" s="28"/>
      <c r="AS17" s="28"/>
      <c r="AT17" s="28"/>
      <c r="AU17" s="28"/>
      <c r="AV17" s="28"/>
      <c r="AW17" s="28"/>
    </row>
    <row r="18" spans="1:49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6"/>
    </row>
    <row r="19" spans="1:49">
      <c r="A19" s="4"/>
      <c r="B19" s="5" t="s">
        <v>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6"/>
    </row>
    <row r="20" spans="1:49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6"/>
    </row>
    <row r="21" spans="1:49">
      <c r="A21" s="4"/>
      <c r="B21" s="37" t="s">
        <v>12</v>
      </c>
      <c r="C21" s="26"/>
      <c r="D21" s="26"/>
      <c r="E21" s="26" t="s">
        <v>13</v>
      </c>
      <c r="F21" s="26"/>
      <c r="G21" s="26"/>
      <c r="H21" s="26"/>
      <c r="I21" s="26" t="s">
        <v>14</v>
      </c>
      <c r="J21" s="26"/>
      <c r="K21" s="26"/>
      <c r="L21" s="26"/>
      <c r="M21" s="26" t="s">
        <v>15</v>
      </c>
      <c r="N21" s="26"/>
      <c r="O21" s="26"/>
      <c r="P21" s="26"/>
      <c r="Q21" s="26"/>
      <c r="R21" s="26"/>
      <c r="S21" s="26"/>
      <c r="T21" s="26"/>
      <c r="U21" s="37" t="s">
        <v>16</v>
      </c>
      <c r="V21" s="26"/>
      <c r="W21" s="26"/>
      <c r="X21" s="26"/>
      <c r="Y21" s="37" t="s">
        <v>17</v>
      </c>
      <c r="Z21" s="26"/>
      <c r="AA21" s="26"/>
      <c r="AB21" s="26"/>
      <c r="AC21" s="37" t="s">
        <v>18</v>
      </c>
      <c r="AD21" s="26"/>
      <c r="AE21" s="26"/>
      <c r="AF21" s="26"/>
      <c r="AG21" s="37" t="s">
        <v>19</v>
      </c>
      <c r="AH21" s="26"/>
      <c r="AI21" s="26"/>
      <c r="AJ21" s="26"/>
      <c r="AK21" s="37" t="s">
        <v>20</v>
      </c>
      <c r="AL21" s="26"/>
      <c r="AM21" s="26"/>
      <c r="AN21" s="26"/>
      <c r="AO21" s="37" t="s">
        <v>21</v>
      </c>
      <c r="AP21" s="26"/>
      <c r="AQ21" s="26"/>
      <c r="AR21" s="26"/>
      <c r="AS21" s="26" t="s">
        <v>4</v>
      </c>
      <c r="AT21" s="26"/>
      <c r="AU21" s="26"/>
      <c r="AV21" s="26"/>
      <c r="AW21" s="26"/>
    </row>
    <row r="22" spans="1:49">
      <c r="A22" s="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 t="s">
        <v>22</v>
      </c>
      <c r="N22" s="26"/>
      <c r="O22" s="26"/>
      <c r="P22" s="26"/>
      <c r="Q22" s="26" t="s">
        <v>23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</row>
    <row r="23" spans="1:49" ht="12.95" customHeight="1">
      <c r="A23" s="4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>
        <v>0</v>
      </c>
      <c r="AL23" s="27"/>
      <c r="AM23" s="27"/>
      <c r="AN23" s="27"/>
      <c r="AO23" s="27">
        <v>0</v>
      </c>
      <c r="AP23" s="27"/>
      <c r="AQ23" s="27"/>
      <c r="AR23" s="27"/>
      <c r="AS23" s="27">
        <f>SUM(U23:AN26)</f>
        <v>0</v>
      </c>
      <c r="AT23" s="27"/>
      <c r="AU23" s="27"/>
      <c r="AV23" s="27"/>
      <c r="AW23" s="27"/>
    </row>
    <row r="24" spans="1:49" ht="12.95" customHeight="1">
      <c r="A24" s="4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</row>
    <row r="25" spans="1:49" ht="12.95" customHeight="1">
      <c r="A25" s="4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r="26" spans="1:49" ht="12.95" customHeight="1">
      <c r="A26" s="4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 spans="1:49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6"/>
    </row>
    <row r="28" spans="1:49">
      <c r="A28" s="4"/>
      <c r="B28" s="5" t="s">
        <v>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6"/>
    </row>
    <row r="29" spans="1:4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41">
        <f>U23*8</f>
        <v>0</v>
      </c>
      <c r="O29" s="41"/>
      <c r="P29" s="41">
        <f>Y23*3</f>
        <v>0</v>
      </c>
      <c r="Q29" s="41"/>
      <c r="R29" s="41">
        <f>AC23*3</f>
        <v>0</v>
      </c>
      <c r="S29" s="41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6"/>
    </row>
    <row r="30" spans="1:49" ht="27.95" customHeight="1">
      <c r="A30" s="4"/>
      <c r="B30" s="38" t="s">
        <v>25</v>
      </c>
      <c r="C30" s="38"/>
      <c r="D30" s="38"/>
      <c r="E30" s="38"/>
      <c r="F30" s="38"/>
      <c r="G30" s="38"/>
      <c r="H30" s="38" t="s">
        <v>26</v>
      </c>
      <c r="I30" s="38"/>
      <c r="J30" s="38"/>
      <c r="K30" s="38"/>
      <c r="L30" s="38"/>
      <c r="M30" s="38"/>
      <c r="N30" s="38" t="s">
        <v>27</v>
      </c>
      <c r="O30" s="38"/>
      <c r="P30" s="38"/>
      <c r="Q30" s="38"/>
      <c r="R30" s="38"/>
      <c r="S30" s="38"/>
      <c r="T30" s="38" t="s">
        <v>28</v>
      </c>
      <c r="U30" s="38"/>
      <c r="V30" s="38"/>
      <c r="W30" s="38"/>
      <c r="X30" s="38"/>
      <c r="Y30" s="38"/>
      <c r="Z30" s="38" t="s">
        <v>29</v>
      </c>
      <c r="AA30" s="38"/>
      <c r="AB30" s="38"/>
      <c r="AC30" s="38"/>
      <c r="AD30" s="38"/>
      <c r="AE30" s="38"/>
      <c r="AF30" s="38" t="s">
        <v>30</v>
      </c>
      <c r="AG30" s="38"/>
      <c r="AH30" s="38"/>
      <c r="AI30" s="38"/>
      <c r="AJ30" s="38"/>
      <c r="AK30" s="38"/>
      <c r="AL30" s="38" t="s">
        <v>31</v>
      </c>
      <c r="AM30" s="38"/>
      <c r="AN30" s="38"/>
      <c r="AO30" s="38"/>
      <c r="AP30" s="38"/>
      <c r="AQ30" s="38"/>
      <c r="AR30" s="38" t="s">
        <v>32</v>
      </c>
      <c r="AS30" s="38"/>
      <c r="AT30" s="38"/>
      <c r="AU30" s="38"/>
      <c r="AV30" s="38"/>
      <c r="AW30" s="38"/>
    </row>
    <row r="31" spans="1:49" ht="27.95" customHeight="1">
      <c r="A31" s="4"/>
      <c r="B31" s="38" t="s">
        <v>2</v>
      </c>
      <c r="C31" s="38"/>
      <c r="D31" s="38"/>
      <c r="E31" s="38"/>
      <c r="F31" s="38"/>
      <c r="G31" s="38"/>
      <c r="H31" s="39"/>
      <c r="I31" s="39"/>
      <c r="J31" s="39"/>
      <c r="K31" s="39"/>
      <c r="L31" s="39"/>
      <c r="M31" s="39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</row>
    <row r="32" spans="1:49" ht="27.95" customHeight="1">
      <c r="A32" s="4"/>
      <c r="B32" s="38" t="s">
        <v>33</v>
      </c>
      <c r="C32" s="38"/>
      <c r="D32" s="38"/>
      <c r="E32" s="38"/>
      <c r="F32" s="38"/>
      <c r="G32" s="38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</row>
    <row r="33" spans="1:49" ht="27.95" customHeight="1">
      <c r="A33" s="4"/>
      <c r="B33" s="38" t="s">
        <v>34</v>
      </c>
      <c r="C33" s="38"/>
      <c r="D33" s="38"/>
      <c r="E33" s="38"/>
      <c r="F33" s="38"/>
      <c r="G33" s="38"/>
      <c r="H33" s="40">
        <f>U23*7</f>
        <v>0</v>
      </c>
      <c r="I33" s="40"/>
      <c r="J33" s="40"/>
      <c r="K33" s="40"/>
      <c r="L33" s="40"/>
      <c r="M33" s="40"/>
      <c r="N33" s="40">
        <f>N29+P29+R29</f>
        <v>0</v>
      </c>
      <c r="O33" s="40"/>
      <c r="P33" s="40"/>
      <c r="Q33" s="40"/>
      <c r="R33" s="40"/>
      <c r="S33" s="40"/>
      <c r="T33" s="40">
        <f>AC23*72</f>
        <v>0</v>
      </c>
      <c r="U33" s="40"/>
      <c r="V33" s="40"/>
      <c r="W33" s="40"/>
      <c r="X33" s="40"/>
      <c r="Y33" s="40"/>
      <c r="Z33" s="40">
        <f>M23*500</f>
        <v>0</v>
      </c>
      <c r="AA33" s="40"/>
      <c r="AB33" s="40"/>
      <c r="AC33" s="40"/>
      <c r="AD33" s="40"/>
      <c r="AE33" s="40"/>
      <c r="AF33" s="40">
        <f>U23*4</f>
        <v>0</v>
      </c>
      <c r="AG33" s="40"/>
      <c r="AH33" s="40"/>
      <c r="AI33" s="40"/>
      <c r="AJ33" s="40"/>
      <c r="AK33" s="40"/>
      <c r="AL33" s="40">
        <f>Z9*545</f>
        <v>0</v>
      </c>
      <c r="AM33" s="40"/>
      <c r="AN33" s="40"/>
      <c r="AO33" s="40"/>
      <c r="AP33" s="40"/>
      <c r="AQ33" s="40"/>
      <c r="AR33" s="40">
        <f>Z9*95</f>
        <v>0</v>
      </c>
      <c r="AS33" s="40"/>
      <c r="AT33" s="40"/>
      <c r="AU33" s="40"/>
      <c r="AV33" s="40"/>
      <c r="AW33" s="40"/>
    </row>
    <row r="34" spans="1:49" ht="27.95" customHeight="1">
      <c r="A34" s="4"/>
      <c r="B34" s="38" t="s">
        <v>35</v>
      </c>
      <c r="C34" s="38"/>
      <c r="D34" s="38"/>
      <c r="E34" s="38"/>
      <c r="F34" s="38"/>
      <c r="G34" s="38"/>
      <c r="H34" s="39">
        <f>H31+H32-H33</f>
        <v>0</v>
      </c>
      <c r="I34" s="39"/>
      <c r="J34" s="39"/>
      <c r="K34" s="39"/>
      <c r="L34" s="39"/>
      <c r="M34" s="39"/>
      <c r="N34" s="40">
        <f>N31+N32-N33</f>
        <v>0</v>
      </c>
      <c r="O34" s="40"/>
      <c r="P34" s="40"/>
      <c r="Q34" s="40"/>
      <c r="R34" s="40"/>
      <c r="S34" s="40"/>
      <c r="T34" s="40">
        <f>T31+T32-T33</f>
        <v>0</v>
      </c>
      <c r="U34" s="40"/>
      <c r="V34" s="40"/>
      <c r="W34" s="40"/>
      <c r="X34" s="40"/>
      <c r="Y34" s="40"/>
      <c r="Z34" s="40">
        <f>Z31+Z32-Z33</f>
        <v>0</v>
      </c>
      <c r="AA34" s="40"/>
      <c r="AB34" s="40"/>
      <c r="AC34" s="40"/>
      <c r="AD34" s="40"/>
      <c r="AE34" s="40"/>
      <c r="AF34" s="40">
        <f>AF31+AF32-AF33</f>
        <v>0</v>
      </c>
      <c r="AG34" s="40"/>
      <c r="AH34" s="40"/>
      <c r="AI34" s="40"/>
      <c r="AJ34" s="40"/>
      <c r="AK34" s="40"/>
      <c r="AL34" s="40">
        <f>AL31+AL32-AL33</f>
        <v>0</v>
      </c>
      <c r="AM34" s="40"/>
      <c r="AN34" s="40"/>
      <c r="AO34" s="40"/>
      <c r="AP34" s="40"/>
      <c r="AQ34" s="40"/>
      <c r="AR34" s="40">
        <f>AR31+AR32-AR33</f>
        <v>0</v>
      </c>
      <c r="AS34" s="40"/>
      <c r="AT34" s="40"/>
      <c r="AU34" s="40"/>
      <c r="AV34" s="40"/>
      <c r="AW34" s="40"/>
    </row>
    <row r="35" spans="1:49" ht="27.9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6"/>
    </row>
    <row r="36" spans="1:49" ht="23.1" customHeight="1">
      <c r="A36" s="1"/>
    </row>
    <row r="37" spans="1:49" ht="23.1" customHeight="1"/>
    <row r="38" spans="1:49" ht="23.1" customHeight="1">
      <c r="A38" s="1"/>
    </row>
    <row r="39" spans="1:49">
      <c r="A39" s="1"/>
    </row>
  </sheetData>
  <mergeCells count="100">
    <mergeCell ref="N29:O29"/>
    <mergeCell ref="P29:Q29"/>
    <mergeCell ref="R29:S29"/>
    <mergeCell ref="AL33:AQ33"/>
    <mergeCell ref="AR33:AW33"/>
    <mergeCell ref="AL31:AQ31"/>
    <mergeCell ref="AR31:AW31"/>
    <mergeCell ref="AF32:AK32"/>
    <mergeCell ref="AL32:AQ32"/>
    <mergeCell ref="AR32:AW32"/>
    <mergeCell ref="AF31:AK31"/>
    <mergeCell ref="AF30:AK30"/>
    <mergeCell ref="AL30:AQ30"/>
    <mergeCell ref="AR30:AW30"/>
    <mergeCell ref="AF34:AK34"/>
    <mergeCell ref="AL34:AQ34"/>
    <mergeCell ref="AR34:AW34"/>
    <mergeCell ref="B33:G33"/>
    <mergeCell ref="H33:M33"/>
    <mergeCell ref="N33:S33"/>
    <mergeCell ref="T33:Y33"/>
    <mergeCell ref="Z33:AE33"/>
    <mergeCell ref="AF33:AK33"/>
    <mergeCell ref="B34:G34"/>
    <mergeCell ref="H34:M34"/>
    <mergeCell ref="N34:S34"/>
    <mergeCell ref="T34:Y34"/>
    <mergeCell ref="Z34:AE34"/>
    <mergeCell ref="B32:G32"/>
    <mergeCell ref="H32:M32"/>
    <mergeCell ref="N32:S32"/>
    <mergeCell ref="T32:Y32"/>
    <mergeCell ref="Z32:AE32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AO23:AR26"/>
    <mergeCell ref="AO21:AR22"/>
    <mergeCell ref="AK23:AN26"/>
    <mergeCell ref="AK21:AN22"/>
    <mergeCell ref="E23:H24"/>
    <mergeCell ref="E25:H26"/>
    <mergeCell ref="I23:L24"/>
    <mergeCell ref="I25:L26"/>
    <mergeCell ref="AC21:AF22"/>
    <mergeCell ref="AG21:AJ22"/>
    <mergeCell ref="AS21:AW22"/>
    <mergeCell ref="AS23:AW26"/>
    <mergeCell ref="B9:I10"/>
    <mergeCell ref="M21:T21"/>
    <mergeCell ref="M22:P22"/>
    <mergeCell ref="Q22:T22"/>
    <mergeCell ref="J9:Q10"/>
    <mergeCell ref="R9:Y10"/>
    <mergeCell ref="B23:D24"/>
    <mergeCell ref="M23:P24"/>
    <mergeCell ref="AC23:AF26"/>
    <mergeCell ref="AG23:AJ26"/>
    <mergeCell ref="E21:H22"/>
    <mergeCell ref="I21:L22"/>
    <mergeCell ref="U21:X22"/>
    <mergeCell ref="Y21:AB22"/>
    <mergeCell ref="B21:D22"/>
    <mergeCell ref="M25:P26"/>
    <mergeCell ref="Q23:T26"/>
    <mergeCell ref="U23:X26"/>
    <mergeCell ref="Y23:AB26"/>
    <mergeCell ref="B25:D26"/>
    <mergeCell ref="B7:I8"/>
    <mergeCell ref="J7:Q8"/>
    <mergeCell ref="AP16:AW17"/>
    <mergeCell ref="A1:AW2"/>
    <mergeCell ref="A3:AH4"/>
    <mergeCell ref="AI3:AW4"/>
    <mergeCell ref="B16:H17"/>
    <mergeCell ref="I16:P17"/>
    <mergeCell ref="Q16:X17"/>
    <mergeCell ref="Y16:AG16"/>
    <mergeCell ref="Y17:AG17"/>
    <mergeCell ref="AH16:AO17"/>
    <mergeCell ref="B14:H15"/>
    <mergeCell ref="I14:P15"/>
    <mergeCell ref="Q14:X15"/>
    <mergeCell ref="Z9:AG10"/>
    <mergeCell ref="AP14:AW15"/>
    <mergeCell ref="R7:Y8"/>
    <mergeCell ref="Z7:AG8"/>
    <mergeCell ref="AH7:AO8"/>
    <mergeCell ref="AP7:AW8"/>
    <mergeCell ref="AP9:AW10"/>
    <mergeCell ref="AH9:AO10"/>
    <mergeCell ref="Y14:AG15"/>
    <mergeCell ref="AH14:AO1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0.59999389629810485"/>
  </sheetPr>
  <dimension ref="A1:BC38"/>
  <sheetViews>
    <sheetView zoomScaleNormal="100" zoomScaleSheetLayoutView="85" workbookViewId="0">
      <selection activeCell="N28" sqref="N28:S28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1" width="4.375" hidden="1" customWidth="1"/>
    <col min="52" max="52" width="3.37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전월말일!AI3+1</f>
        <v>46113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19.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전월말일!AH9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전월말일!AH16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2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2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  <c r="AZ18">
        <f>AH8-AS20</f>
        <v>0</v>
      </c>
    </row>
    <row r="19" spans="1:52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2" ht="12.95" customHeight="1">
      <c r="A20" s="4"/>
      <c r="B20" s="65"/>
      <c r="C20" s="65"/>
      <c r="D20" s="65"/>
      <c r="E20" s="65"/>
      <c r="F20" s="65"/>
      <c r="G20" s="65"/>
      <c r="H20" s="65"/>
      <c r="I20" s="65">
        <f>전월말일!E23</f>
        <v>0</v>
      </c>
      <c r="J20" s="65"/>
      <c r="K20" s="65"/>
      <c r="L20" s="65"/>
      <c r="M20" s="65">
        <f>전월말일!I23</f>
        <v>0</v>
      </c>
      <c r="N20" s="65"/>
      <c r="O20" s="65"/>
      <c r="P20" s="65"/>
      <c r="Q20" s="27">
        <f>전월말일!Q23+전월말일!M25-J8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전월말일!U23</f>
        <v>0</v>
      </c>
      <c r="Z20" s="27"/>
      <c r="AA20" s="27"/>
      <c r="AB20" s="27"/>
      <c r="AC20" s="27">
        <f>전월말일!Y23</f>
        <v>0</v>
      </c>
      <c r="AD20" s="27"/>
      <c r="AE20" s="27"/>
      <c r="AF20" s="27"/>
      <c r="AG20" s="27">
        <f>AS20-U20-Y20-AC20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  <c r="AY20">
        <v>1</v>
      </c>
      <c r="AZ20">
        <v>2</v>
      </c>
    </row>
    <row r="21" spans="1:52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v>12</v>
      </c>
      <c r="AZ21">
        <v>12</v>
      </c>
    </row>
    <row r="22" spans="1:52" ht="12.95" customHeight="1">
      <c r="A22" s="4"/>
      <c r="B22" s="50"/>
      <c r="C22" s="50"/>
      <c r="D22" s="50"/>
      <c r="E22" s="50"/>
      <c r="F22" s="50"/>
      <c r="G22" s="50"/>
      <c r="H22" s="50"/>
      <c r="I22" s="50">
        <f>전월말일!E25</f>
        <v>0</v>
      </c>
      <c r="J22" s="50"/>
      <c r="K22" s="50"/>
      <c r="L22" s="50"/>
      <c r="M22" s="50">
        <f>전월말일!I25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</row>
    <row r="23" spans="1:52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2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2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2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2" ht="27.95" customHeight="1">
      <c r="A27" s="4"/>
      <c r="B27" s="53" t="s">
        <v>2</v>
      </c>
      <c r="C27" s="53"/>
      <c r="D27" s="53"/>
      <c r="E27" s="53"/>
      <c r="F27" s="53"/>
      <c r="G27" s="53"/>
      <c r="H27" s="39">
        <f>전월말일!H34</f>
        <v>0</v>
      </c>
      <c r="I27" s="39"/>
      <c r="J27" s="39"/>
      <c r="K27" s="39"/>
      <c r="L27" s="39"/>
      <c r="M27" s="39"/>
      <c r="N27" s="40">
        <f>전월말일!N34</f>
        <v>0</v>
      </c>
      <c r="O27" s="40"/>
      <c r="P27" s="40"/>
      <c r="Q27" s="40"/>
      <c r="R27" s="40"/>
      <c r="S27" s="40"/>
      <c r="T27" s="40">
        <f>전월말일!T34</f>
        <v>0</v>
      </c>
      <c r="U27" s="40"/>
      <c r="V27" s="40"/>
      <c r="W27" s="40"/>
      <c r="X27" s="40"/>
      <c r="Y27" s="40"/>
      <c r="Z27" s="40">
        <f>전월말일!Z34</f>
        <v>0</v>
      </c>
      <c r="AA27" s="40"/>
      <c r="AB27" s="40"/>
      <c r="AC27" s="40"/>
      <c r="AD27" s="40"/>
      <c r="AE27" s="40"/>
      <c r="AF27" s="40">
        <f>전월말일!AF34</f>
        <v>0</v>
      </c>
      <c r="AG27" s="40"/>
      <c r="AH27" s="40"/>
      <c r="AI27" s="40"/>
      <c r="AJ27" s="40"/>
      <c r="AK27" s="40"/>
      <c r="AL27" s="40">
        <f>전월말일!AL34</f>
        <v>0</v>
      </c>
      <c r="AM27" s="40"/>
      <c r="AN27" s="40"/>
      <c r="AO27" s="40"/>
      <c r="AP27" s="40"/>
      <c r="AQ27" s="40"/>
      <c r="AR27" s="40">
        <f>전월말일!AR34</f>
        <v>0</v>
      </c>
      <c r="AS27" s="40"/>
      <c r="AT27" s="40"/>
      <c r="AU27" s="40"/>
      <c r="AV27" s="40"/>
      <c r="AW27" s="40"/>
      <c r="AX27" s="2"/>
    </row>
    <row r="28" spans="1:52" ht="27.95" customHeight="1">
      <c r="A28" s="4"/>
      <c r="B28" s="53" t="s">
        <v>33</v>
      </c>
      <c r="C28" s="53"/>
      <c r="D28" s="53"/>
      <c r="E28" s="53"/>
      <c r="F28" s="53"/>
      <c r="G28" s="53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2" ht="27.95" customHeight="1">
      <c r="A29" s="4"/>
      <c r="B29" s="53" t="s">
        <v>34</v>
      </c>
      <c r="C29" s="53"/>
      <c r="D29" s="53"/>
      <c r="E29" s="53"/>
      <c r="F29" s="53"/>
      <c r="G29" s="53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2" ht="27.95" customHeight="1">
      <c r="A30" s="4"/>
      <c r="B30" s="53" t="s">
        <v>35</v>
      </c>
      <c r="C30" s="53"/>
      <c r="D30" s="53"/>
      <c r="E30" s="53"/>
      <c r="F30" s="53"/>
      <c r="G30" s="53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2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44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2" ht="9" customHeight="1">
      <c r="A32" s="1"/>
      <c r="AX32" s="2"/>
    </row>
    <row r="33" spans="1:50" ht="22.5" customHeight="1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2"/>
      <c r="K33" s="22"/>
      <c r="L33" s="22"/>
      <c r="M33" s="22"/>
      <c r="N33" s="22"/>
      <c r="O33" s="22"/>
      <c r="P33" s="70"/>
      <c r="Q33" s="70"/>
      <c r="R33" s="70"/>
      <c r="T33" s="70"/>
      <c r="U33" s="70"/>
      <c r="V33" s="70"/>
      <c r="W33" s="22"/>
      <c r="AX33" s="2"/>
    </row>
    <row r="34" spans="1:50" ht="15" customHeight="1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 ht="18" customHeight="1">
      <c r="A35" s="1"/>
      <c r="B35" s="67" t="s">
        <v>44</v>
      </c>
      <c r="C35" s="67"/>
      <c r="D35" s="67"/>
      <c r="E35" s="67"/>
      <c r="F35" s="67"/>
      <c r="G35" s="67"/>
      <c r="H35" s="67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4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6:AW36"/>
    <mergeCell ref="AQ34:AW34"/>
    <mergeCell ref="AD34:AI34"/>
    <mergeCell ref="AD35:AI35"/>
    <mergeCell ref="AJ35:AP35"/>
    <mergeCell ref="AQ35:AW35"/>
    <mergeCell ref="AJ34:AP34"/>
    <mergeCell ref="Y37:AE37"/>
    <mergeCell ref="AJ36:AP36"/>
    <mergeCell ref="AO37:AU37"/>
    <mergeCell ref="B36:H36"/>
    <mergeCell ref="B37:H37"/>
    <mergeCell ref="B29:G29"/>
    <mergeCell ref="H29:M29"/>
    <mergeCell ref="N29:S29"/>
    <mergeCell ref="T29:Y29"/>
    <mergeCell ref="Z29:AE29"/>
    <mergeCell ref="AF29:AK29"/>
    <mergeCell ref="B34:H34"/>
    <mergeCell ref="I34:O34"/>
    <mergeCell ref="P34:V34"/>
    <mergeCell ref="W34:AC34"/>
    <mergeCell ref="B35:H35"/>
    <mergeCell ref="Z30:AE30"/>
    <mergeCell ref="AF30:AK30"/>
    <mergeCell ref="AD36:AI36"/>
    <mergeCell ref="I35:O35"/>
    <mergeCell ref="P35:V35"/>
    <mergeCell ref="W35:AC35"/>
    <mergeCell ref="I36:O36"/>
    <mergeCell ref="P36:V36"/>
    <mergeCell ref="W36:AC36"/>
    <mergeCell ref="P33:R33"/>
    <mergeCell ref="T33:V33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1:AE31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B8:I9"/>
    <mergeCell ref="J8:Q9"/>
    <mergeCell ref="R8:Y9"/>
    <mergeCell ref="Z8:AG9"/>
    <mergeCell ref="AC18:AF19"/>
    <mergeCell ref="AG18:AJ19"/>
    <mergeCell ref="AH8:AO9"/>
    <mergeCell ref="AK18:AN19"/>
    <mergeCell ref="AO18:AR1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AS18:AW19"/>
    <mergeCell ref="M19:P19"/>
    <mergeCell ref="Q19:T19"/>
    <mergeCell ref="E18:H19"/>
    <mergeCell ref="I18:L19"/>
    <mergeCell ref="AE38:AJ38"/>
    <mergeCell ref="W31:Y31"/>
    <mergeCell ref="B18:D19"/>
    <mergeCell ref="B14:H15"/>
    <mergeCell ref="I14:P15"/>
    <mergeCell ref="Q14:X15"/>
    <mergeCell ref="Y14:AG14"/>
    <mergeCell ref="E22:H23"/>
    <mergeCell ref="I22:L23"/>
    <mergeCell ref="M22:P23"/>
    <mergeCell ref="M18:T18"/>
    <mergeCell ref="U18:X19"/>
    <mergeCell ref="Y18:AB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</mergeCells>
  <phoneticPr fontId="3" type="noConversion"/>
  <pageMargins left="0.7" right="0.7" top="0.75" bottom="0.75" header="0.3" footer="0.3"/>
  <pageSetup paperSize="9" scale="99" orientation="portrait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 tint="0.59999389629810485"/>
  </sheetPr>
  <dimension ref="A1:BE37"/>
  <sheetViews>
    <sheetView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  <col min="56" max="56" width="13.625" bestFit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'1일'!AI3:AW4+1</f>
        <v>46114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73"/>
      <c r="Z14" s="73"/>
      <c r="AA14" s="73"/>
      <c r="AB14" s="73"/>
      <c r="AC14" s="73"/>
      <c r="AD14" s="73"/>
      <c r="AE14" s="73"/>
      <c r="AF14" s="73"/>
      <c r="AG14" s="73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7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  <c r="BB17" s="10"/>
      <c r="BC17" s="10"/>
      <c r="BD17" s="10"/>
      <c r="BE17" s="10"/>
    </row>
    <row r="18" spans="1:57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  <c r="BB18" s="10"/>
      <c r="BC18" s="10"/>
      <c r="BD18" s="10"/>
      <c r="BE18" s="10"/>
    </row>
    <row r="19" spans="1:57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  <c r="BB19" s="10"/>
      <c r="BC19" s="10"/>
      <c r="BD19" s="10"/>
      <c r="BE19" s="10"/>
    </row>
    <row r="20" spans="1:57" ht="12.95" customHeight="1">
      <c r="A20" s="4"/>
      <c r="B20" s="65"/>
      <c r="C20" s="65"/>
      <c r="D20" s="65"/>
      <c r="E20" s="65"/>
      <c r="F20" s="65"/>
      <c r="G20" s="65"/>
      <c r="H20" s="65"/>
      <c r="I20" s="65">
        <f>'1일'!E20</f>
        <v>0</v>
      </c>
      <c r="J20" s="65"/>
      <c r="K20" s="65"/>
      <c r="L20" s="65"/>
      <c r="M20" s="65">
        <f>'1일'!I20</f>
        <v>0</v>
      </c>
      <c r="N20" s="65"/>
      <c r="O20" s="65"/>
      <c r="P20" s="65"/>
      <c r="Q20" s="27">
        <f>'1일'!Q20+'1일'!M22-'2일'!J8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'1일'!U20</f>
        <v>0</v>
      </c>
      <c r="Z20" s="27"/>
      <c r="AA20" s="27"/>
      <c r="AB20" s="27"/>
      <c r="AC20" s="27">
        <f>'1일'!Y20</f>
        <v>0</v>
      </c>
      <c r="AD20" s="27"/>
      <c r="AE20" s="27"/>
      <c r="AF20" s="27"/>
      <c r="AG20" s="27">
        <f>AS20-U20-Y20-AC20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  <c r="BB20" s="10"/>
      <c r="BC20" s="10"/>
      <c r="BD20" s="10"/>
      <c r="BE20" s="10"/>
    </row>
    <row r="21" spans="1:57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  <c r="BB21" s="10"/>
      <c r="BC21" s="10"/>
      <c r="BD21" s="10"/>
      <c r="BE21" s="10"/>
    </row>
    <row r="22" spans="1:57" ht="12.95" customHeight="1">
      <c r="A22" s="4"/>
      <c r="B22" s="50"/>
      <c r="C22" s="50"/>
      <c r="D22" s="50"/>
      <c r="E22" s="50"/>
      <c r="F22" s="50"/>
      <c r="G22" s="50"/>
      <c r="H22" s="50"/>
      <c r="I22" s="50">
        <f>'1일'!E22</f>
        <v>0</v>
      </c>
      <c r="J22" s="50"/>
      <c r="K22" s="50"/>
      <c r="L22" s="50"/>
      <c r="M22" s="50">
        <f>'1일'!I22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  <c r="BB22" s="10"/>
      <c r="BC22" s="10"/>
      <c r="BD22" s="10"/>
      <c r="BE22" s="10"/>
    </row>
    <row r="23" spans="1:57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  <c r="BB23" s="10"/>
      <c r="BC23" s="10"/>
      <c r="BD23" s="10"/>
      <c r="BE23" s="10"/>
    </row>
    <row r="24" spans="1:5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  <c r="BB24" s="10"/>
      <c r="BC24" s="10"/>
      <c r="BD24" s="10"/>
      <c r="BE24" s="10"/>
    </row>
    <row r="25" spans="1:57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  <c r="BB25" s="10"/>
      <c r="BC25" s="10"/>
      <c r="BD25" s="10"/>
      <c r="BE25" s="10"/>
    </row>
    <row r="26" spans="1:57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  <c r="BB26" s="10"/>
      <c r="BC26" s="10"/>
      <c r="BD26" s="10"/>
      <c r="BE26" s="10"/>
    </row>
    <row r="27" spans="1:57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'1일'!H30:M30</f>
        <v>0</v>
      </c>
      <c r="I27" s="39"/>
      <c r="J27" s="39"/>
      <c r="K27" s="39"/>
      <c r="L27" s="39"/>
      <c r="M27" s="39"/>
      <c r="N27" s="40">
        <f>'1일'!N30:S30</f>
        <v>0</v>
      </c>
      <c r="O27" s="40"/>
      <c r="P27" s="40"/>
      <c r="Q27" s="40"/>
      <c r="R27" s="40"/>
      <c r="S27" s="40"/>
      <c r="T27" s="40">
        <f>'1일'!T30:Y30</f>
        <v>0</v>
      </c>
      <c r="U27" s="40"/>
      <c r="V27" s="40"/>
      <c r="W27" s="40"/>
      <c r="X27" s="40"/>
      <c r="Y27" s="40"/>
      <c r="Z27" s="40">
        <f>'1일'!Z30:AE30</f>
        <v>0</v>
      </c>
      <c r="AA27" s="40"/>
      <c r="AB27" s="40"/>
      <c r="AC27" s="40"/>
      <c r="AD27" s="40"/>
      <c r="AE27" s="40"/>
      <c r="AF27" s="40">
        <f>'1일'!AF30:AK30</f>
        <v>0</v>
      </c>
      <c r="AG27" s="40"/>
      <c r="AH27" s="40"/>
      <c r="AI27" s="40"/>
      <c r="AJ27" s="40"/>
      <c r="AK27" s="40"/>
      <c r="AL27" s="40">
        <f>'1일'!AL30:AQ30</f>
        <v>0</v>
      </c>
      <c r="AM27" s="40"/>
      <c r="AN27" s="40"/>
      <c r="AO27" s="40"/>
      <c r="AP27" s="40"/>
      <c r="AQ27" s="40"/>
      <c r="AR27" s="40">
        <f>'1일'!AR30:AW30</f>
        <v>0</v>
      </c>
      <c r="AS27" s="40"/>
      <c r="AT27" s="40"/>
      <c r="AU27" s="40"/>
      <c r="AV27" s="40"/>
      <c r="AW27" s="40"/>
      <c r="AX27" s="2"/>
      <c r="BB27" s="10"/>
      <c r="BC27" s="10"/>
      <c r="BD27" s="10"/>
      <c r="BE27" s="10"/>
    </row>
    <row r="28" spans="1:57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  <c r="BB28" s="10"/>
      <c r="BC28" s="10"/>
      <c r="BD28" s="10"/>
      <c r="BE28" s="10"/>
    </row>
    <row r="29" spans="1:57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  <c r="BB29" s="10"/>
      <c r="BC29" s="10"/>
      <c r="BD29" s="10"/>
      <c r="BE29" s="10"/>
    </row>
    <row r="30" spans="1:57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  <c r="BB30" s="10"/>
      <c r="BC30" s="10"/>
      <c r="BD30" s="10"/>
      <c r="BE30" s="10"/>
    </row>
    <row r="31" spans="1:57" ht="9" customHeight="1">
      <c r="A31" s="1"/>
      <c r="T31" s="76"/>
      <c r="U31" s="76"/>
      <c r="V31" s="76"/>
      <c r="W31" s="76"/>
      <c r="X31" s="76"/>
      <c r="Y31" s="76"/>
      <c r="AX31" s="2"/>
    </row>
    <row r="32" spans="1:57" ht="22.5" customHeight="1">
      <c r="A32" s="1"/>
      <c r="B32" s="5" t="s">
        <v>37</v>
      </c>
      <c r="C32" s="5"/>
      <c r="D32" s="5"/>
      <c r="E32" s="3"/>
      <c r="F32" s="5"/>
      <c r="G32" s="5"/>
      <c r="H32" s="5"/>
      <c r="I32" s="5"/>
      <c r="J32" s="22"/>
      <c r="K32" s="22"/>
      <c r="L32" s="22"/>
      <c r="M32" s="22"/>
      <c r="N32" s="22"/>
      <c r="O32" s="22"/>
      <c r="P32" s="70"/>
      <c r="Q32" s="70"/>
      <c r="R32" s="70"/>
      <c r="T32" s="77"/>
      <c r="U32" s="77"/>
      <c r="V32" s="77"/>
      <c r="W32" s="77"/>
      <c r="X32" s="77"/>
      <c r="Y32" s="77"/>
      <c r="AX32" s="2"/>
    </row>
    <row r="33" spans="1:50" ht="15" customHeight="1">
      <c r="A33" s="1"/>
      <c r="B33" s="67"/>
      <c r="C33" s="67"/>
      <c r="D33" s="67"/>
      <c r="E33" s="67"/>
      <c r="F33" s="67"/>
      <c r="G33" s="67"/>
      <c r="H33" s="67"/>
      <c r="I33" s="67" t="s">
        <v>38</v>
      </c>
      <c r="J33" s="67"/>
      <c r="K33" s="67"/>
      <c r="L33" s="67"/>
      <c r="M33" s="67"/>
      <c r="N33" s="67"/>
      <c r="O33" s="67"/>
      <c r="P33" s="67" t="s">
        <v>39</v>
      </c>
      <c r="Q33" s="67"/>
      <c r="R33" s="67"/>
      <c r="S33" s="67"/>
      <c r="T33" s="67"/>
      <c r="U33" s="67"/>
      <c r="V33" s="67"/>
      <c r="W33" s="67" t="s">
        <v>40</v>
      </c>
      <c r="X33" s="67"/>
      <c r="Y33" s="67"/>
      <c r="Z33" s="67"/>
      <c r="AA33" s="67"/>
      <c r="AB33" s="67"/>
      <c r="AC33" s="67"/>
      <c r="AD33" s="67" t="s">
        <v>41</v>
      </c>
      <c r="AE33" s="67"/>
      <c r="AF33" s="67"/>
      <c r="AG33" s="67"/>
      <c r="AH33" s="67"/>
      <c r="AI33" s="67"/>
      <c r="AJ33" s="67" t="s">
        <v>42</v>
      </c>
      <c r="AK33" s="67"/>
      <c r="AL33" s="67"/>
      <c r="AM33" s="67"/>
      <c r="AN33" s="67"/>
      <c r="AO33" s="67"/>
      <c r="AP33" s="67"/>
      <c r="AQ33" s="67" t="s">
        <v>43</v>
      </c>
      <c r="AR33" s="67"/>
      <c r="AS33" s="67"/>
      <c r="AT33" s="67"/>
      <c r="AU33" s="67"/>
      <c r="AV33" s="67"/>
      <c r="AW33" s="67"/>
      <c r="AX33" s="2"/>
    </row>
    <row r="34" spans="1:50" ht="18" customHeight="1">
      <c r="A34" s="1"/>
      <c r="B34" s="67" t="s">
        <v>44</v>
      </c>
      <c r="C34" s="67"/>
      <c r="D34" s="67"/>
      <c r="E34" s="67"/>
      <c r="F34" s="67"/>
      <c r="G34" s="67"/>
      <c r="H34" s="67"/>
      <c r="I34" s="69">
        <f>'1일'!AQ35</f>
        <v>0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>
        <f>Y14</f>
        <v>0</v>
      </c>
      <c r="X34" s="69"/>
      <c r="Y34" s="69"/>
      <c r="Z34" s="69"/>
      <c r="AA34" s="69"/>
      <c r="AB34" s="69"/>
      <c r="AC34" s="69"/>
      <c r="AD34" s="75"/>
      <c r="AE34" s="75"/>
      <c r="AF34" s="75"/>
      <c r="AG34" s="75"/>
      <c r="AH34" s="75"/>
      <c r="AI34" s="75"/>
      <c r="AJ34" s="69">
        <f>AD34+'1일'!AJ35:AP35</f>
        <v>0</v>
      </c>
      <c r="AK34" s="69"/>
      <c r="AL34" s="69"/>
      <c r="AM34" s="69"/>
      <c r="AN34" s="69"/>
      <c r="AO34" s="69"/>
      <c r="AP34" s="69"/>
      <c r="AQ34" s="69">
        <f>I34+P34-W34-AD34</f>
        <v>0</v>
      </c>
      <c r="AR34" s="69"/>
      <c r="AS34" s="69"/>
      <c r="AT34" s="69"/>
      <c r="AU34" s="69"/>
      <c r="AV34" s="69"/>
      <c r="AW34" s="69"/>
      <c r="AX34" s="2"/>
    </row>
    <row r="35" spans="1:50">
      <c r="A35" s="1"/>
      <c r="B35" s="67" t="s">
        <v>45</v>
      </c>
      <c r="C35" s="67"/>
      <c r="D35" s="67"/>
      <c r="E35" s="67"/>
      <c r="F35" s="67"/>
      <c r="G35" s="67"/>
      <c r="H35" s="67"/>
      <c r="I35" s="69">
        <f>'1일'!AQ36</f>
        <v>0</v>
      </c>
      <c r="J35" s="69"/>
      <c r="K35" s="69"/>
      <c r="L35" s="69"/>
      <c r="M35" s="69"/>
      <c r="N35" s="69"/>
      <c r="O35" s="69"/>
      <c r="P35" s="69">
        <f>T32*672000</f>
        <v>0</v>
      </c>
      <c r="Q35" s="69"/>
      <c r="R35" s="69"/>
      <c r="S35" s="69"/>
      <c r="T35" s="69"/>
      <c r="U35" s="69"/>
      <c r="V35" s="69"/>
      <c r="W35" s="69">
        <f>W34</f>
        <v>0</v>
      </c>
      <c r="X35" s="69"/>
      <c r="Y35" s="69"/>
      <c r="Z35" s="69"/>
      <c r="AA35" s="69"/>
      <c r="AB35" s="69"/>
      <c r="AC35" s="69"/>
      <c r="AD35" s="75"/>
      <c r="AE35" s="75"/>
      <c r="AF35" s="75"/>
      <c r="AG35" s="75"/>
      <c r="AH35" s="75"/>
      <c r="AI35" s="75"/>
      <c r="AJ35" s="69">
        <f>AD35+'1일'!AJ36:AP36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7"/>
      <c r="B36" s="68"/>
      <c r="C36" s="68"/>
      <c r="D36" s="68"/>
      <c r="E36" s="68"/>
      <c r="F36" s="68"/>
      <c r="G36" s="68"/>
      <c r="H36" s="68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68"/>
      <c r="Z36" s="68"/>
      <c r="AA36" s="68"/>
      <c r="AB36" s="68"/>
      <c r="AC36" s="68"/>
      <c r="AD36" s="68"/>
      <c r="AE36" s="68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8">
        <v>22880</v>
      </c>
      <c r="AW36" s="8"/>
      <c r="AX36" s="9"/>
    </row>
    <row r="37" spans="1:50">
      <c r="AE37" s="72"/>
      <c r="AF37" s="43"/>
      <c r="AG37" s="43"/>
      <c r="AH37" s="43"/>
      <c r="AI37" s="43"/>
      <c r="AJ37" s="43"/>
    </row>
  </sheetData>
  <mergeCells count="129">
    <mergeCell ref="A1:AX2"/>
    <mergeCell ref="I36:P36"/>
    <mergeCell ref="Q36:X36"/>
    <mergeCell ref="AF36:AN36"/>
    <mergeCell ref="AQ35:AW35"/>
    <mergeCell ref="B33:H33"/>
    <mergeCell ref="I33:O33"/>
    <mergeCell ref="P33:V33"/>
    <mergeCell ref="W33:AC33"/>
    <mergeCell ref="AD33:AI33"/>
    <mergeCell ref="AJ33:AP33"/>
    <mergeCell ref="B36:H36"/>
    <mergeCell ref="Y36:AE36"/>
    <mergeCell ref="AO36:AU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AD34:AI34"/>
    <mergeCell ref="B29:G29"/>
    <mergeCell ref="H29:M29"/>
    <mergeCell ref="N29:S29"/>
    <mergeCell ref="T29:Y29"/>
    <mergeCell ref="Z29:AE29"/>
    <mergeCell ref="AF29:AK29"/>
    <mergeCell ref="AJ34:AP34"/>
    <mergeCell ref="AL29:AQ29"/>
    <mergeCell ref="AQ34:AW34"/>
    <mergeCell ref="Z30:AE30"/>
    <mergeCell ref="AF30:AK30"/>
    <mergeCell ref="AR29:AW29"/>
    <mergeCell ref="AL30:AQ30"/>
    <mergeCell ref="AR30:AW30"/>
    <mergeCell ref="B30:G30"/>
    <mergeCell ref="H30:M30"/>
    <mergeCell ref="N30:S30"/>
    <mergeCell ref="T30:Y30"/>
    <mergeCell ref="AQ33:AW33"/>
    <mergeCell ref="P32:R32"/>
    <mergeCell ref="T31:Y32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I12:P13"/>
    <mergeCell ref="Q12:X13"/>
    <mergeCell ref="Y12:AG13"/>
    <mergeCell ref="AH12:AO13"/>
    <mergeCell ref="AP12:AW1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E18:H19"/>
    <mergeCell ref="I18:L19"/>
    <mergeCell ref="M18:T18"/>
    <mergeCell ref="U18:X19"/>
    <mergeCell ref="Y18:AB19"/>
    <mergeCell ref="AE37:AJ37"/>
    <mergeCell ref="B18:D19"/>
    <mergeCell ref="B14:H15"/>
    <mergeCell ref="I14:P15"/>
    <mergeCell ref="Q14:X15"/>
    <mergeCell ref="Y14:AG14"/>
    <mergeCell ref="A3:AH4"/>
    <mergeCell ref="AI3:AW4"/>
    <mergeCell ref="B6:I7"/>
    <mergeCell ref="J6:Q7"/>
    <mergeCell ref="R6:Y7"/>
    <mergeCell ref="Z6:AG7"/>
    <mergeCell ref="AH6:AO7"/>
    <mergeCell ref="AP6:AW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</mergeCells>
  <phoneticPr fontId="3" type="noConversion"/>
  <pageMargins left="0.7" right="0.7" top="0.75" bottom="0.75" header="0.3" footer="0.3"/>
  <pageSetup paperSize="9" scale="99" orientation="portrait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59999389629810485"/>
  </sheetPr>
  <dimension ref="A1:BF38"/>
  <sheetViews>
    <sheetView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  <col min="58" max="58" width="8.75" style="10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'2일'!AI3:AW4+1</f>
        <v>46115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'2일'!E20</f>
        <v>0</v>
      </c>
      <c r="J20" s="65"/>
      <c r="K20" s="65"/>
      <c r="L20" s="65"/>
      <c r="M20" s="65">
        <f>'2일'!I20</f>
        <v>0</v>
      </c>
      <c r="N20" s="65"/>
      <c r="O20" s="65"/>
      <c r="P20" s="65"/>
      <c r="Q20" s="27">
        <f>'2일'!Q20+'2일'!M22-'3일'!J8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'2일'!U20</f>
        <v>0</v>
      </c>
      <c r="Z20" s="27"/>
      <c r="AA20" s="27"/>
      <c r="AB20" s="27"/>
      <c r="AC20" s="27">
        <f>'2일'!Y20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'2일'!E22</f>
        <v>0</v>
      </c>
      <c r="J22" s="50"/>
      <c r="K22" s="50"/>
      <c r="L22" s="50"/>
      <c r="M22" s="50">
        <f>'2일'!I22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'2일'!H30:M30</f>
        <v>0</v>
      </c>
      <c r="I27" s="39"/>
      <c r="J27" s="39"/>
      <c r="K27" s="39"/>
      <c r="L27" s="39"/>
      <c r="M27" s="39"/>
      <c r="N27" s="40">
        <f>'2일'!N30:S30</f>
        <v>0</v>
      </c>
      <c r="O27" s="40"/>
      <c r="P27" s="40"/>
      <c r="Q27" s="40"/>
      <c r="R27" s="40"/>
      <c r="S27" s="40"/>
      <c r="T27" s="40">
        <f>'2일'!T30:Y30</f>
        <v>0</v>
      </c>
      <c r="U27" s="40"/>
      <c r="V27" s="40"/>
      <c r="W27" s="40"/>
      <c r="X27" s="40"/>
      <c r="Y27" s="40"/>
      <c r="Z27" s="40">
        <f>'2일'!Z30:AE30</f>
        <v>0</v>
      </c>
      <c r="AA27" s="40"/>
      <c r="AB27" s="40"/>
      <c r="AC27" s="40"/>
      <c r="AD27" s="40"/>
      <c r="AE27" s="40"/>
      <c r="AF27" s="40">
        <f>'2일'!AF30:AK30</f>
        <v>0</v>
      </c>
      <c r="AG27" s="40"/>
      <c r="AH27" s="40"/>
      <c r="AI27" s="40"/>
      <c r="AJ27" s="40"/>
      <c r="AK27" s="40"/>
      <c r="AL27" s="40">
        <f>'2일'!AL30:AQ30</f>
        <v>0</v>
      </c>
      <c r="AM27" s="40"/>
      <c r="AN27" s="40"/>
      <c r="AO27" s="40"/>
      <c r="AP27" s="40"/>
      <c r="AQ27" s="40"/>
      <c r="AR27" s="40">
        <f>'2일'!AR30:AW30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 ht="9" customHeight="1">
      <c r="A32" s="1"/>
      <c r="AF32" t="s">
        <v>47</v>
      </c>
      <c r="AX32" s="2"/>
    </row>
    <row r="33" spans="1:53" ht="22.5" customHeight="1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2"/>
      <c r="K33" s="22"/>
      <c r="L33" s="22"/>
      <c r="M33" s="22"/>
      <c r="N33" s="22"/>
      <c r="O33" s="22"/>
      <c r="P33" s="70">
        <v>2</v>
      </c>
      <c r="Q33" s="70"/>
      <c r="R33" s="70"/>
      <c r="T33" s="70">
        <v>0</v>
      </c>
      <c r="U33" s="70"/>
      <c r="V33" s="70"/>
      <c r="W33" s="21"/>
      <c r="AX33" s="2"/>
    </row>
    <row r="34" spans="1:53" ht="15" customHeight="1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3" ht="18" customHeight="1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'2일'!AQ34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AD35+'2일'!AJ34:AP34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A35" s="15"/>
    </row>
    <row r="36" spans="1:53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'2일'!AQ35</f>
        <v>0</v>
      </c>
      <c r="J36" s="69"/>
      <c r="K36" s="69"/>
      <c r="L36" s="69"/>
      <c r="M36" s="69"/>
      <c r="N36" s="69"/>
      <c r="O36" s="69"/>
      <c r="P36" s="69">
        <f>BA36*90000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AD36+'2일'!AJ35:AP35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  <c r="BA36" s="15"/>
    </row>
    <row r="37" spans="1:53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 t="s">
        <v>49</v>
      </c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3">
      <c r="AE38" s="72"/>
      <c r="AF38" s="43"/>
      <c r="AG38" s="43"/>
      <c r="AH38" s="43"/>
      <c r="AI38" s="43"/>
      <c r="AJ38" s="43"/>
    </row>
  </sheetData>
  <mergeCells count="131">
    <mergeCell ref="A1:AX2"/>
    <mergeCell ref="I37:P37"/>
    <mergeCell ref="Q37:X37"/>
    <mergeCell ref="AF37:AN37"/>
    <mergeCell ref="AQ36:AW36"/>
    <mergeCell ref="B34:H34"/>
    <mergeCell ref="I34:O34"/>
    <mergeCell ref="P34:V34"/>
    <mergeCell ref="W34:AC34"/>
    <mergeCell ref="AD34:AI34"/>
    <mergeCell ref="AJ34:AP34"/>
    <mergeCell ref="B37:H37"/>
    <mergeCell ref="Y37:AE37"/>
    <mergeCell ref="AO37:AU37"/>
    <mergeCell ref="B36:H36"/>
    <mergeCell ref="I36:O36"/>
    <mergeCell ref="P36:V36"/>
    <mergeCell ref="W36:AC36"/>
    <mergeCell ref="AD36:AI36"/>
    <mergeCell ref="AJ36:AP36"/>
    <mergeCell ref="B35:H35"/>
    <mergeCell ref="I35:O35"/>
    <mergeCell ref="P35:V35"/>
    <mergeCell ref="W35:AC35"/>
    <mergeCell ref="AD35:AI35"/>
    <mergeCell ref="W31:Y31"/>
    <mergeCell ref="Z31:AE31"/>
    <mergeCell ref="B29:G29"/>
    <mergeCell ref="H29:M29"/>
    <mergeCell ref="N29:S29"/>
    <mergeCell ref="T29:Y29"/>
    <mergeCell ref="Z29:AE29"/>
    <mergeCell ref="AF29:AK29"/>
    <mergeCell ref="AJ35:AP35"/>
    <mergeCell ref="AL29:AQ29"/>
    <mergeCell ref="AQ35:AW35"/>
    <mergeCell ref="Z30:AE30"/>
    <mergeCell ref="AF30:AK30"/>
    <mergeCell ref="AR29:AW29"/>
    <mergeCell ref="AL30:AQ30"/>
    <mergeCell ref="AR30:AW30"/>
    <mergeCell ref="B30:G30"/>
    <mergeCell ref="H30:M30"/>
    <mergeCell ref="N30:S30"/>
    <mergeCell ref="T30:Y30"/>
    <mergeCell ref="AQ34:AW34"/>
    <mergeCell ref="P33:R33"/>
    <mergeCell ref="T33:V3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I12:P13"/>
    <mergeCell ref="Q12:X13"/>
    <mergeCell ref="Y12:AG13"/>
    <mergeCell ref="AH12:AO13"/>
    <mergeCell ref="AP12:AW1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E18:H19"/>
    <mergeCell ref="I18:L19"/>
    <mergeCell ref="M18:T18"/>
    <mergeCell ref="U18:X19"/>
    <mergeCell ref="Y18:AB19"/>
    <mergeCell ref="AE38:AJ38"/>
    <mergeCell ref="B18:D19"/>
    <mergeCell ref="B14:H15"/>
    <mergeCell ref="I14:P15"/>
    <mergeCell ref="Q14:X15"/>
    <mergeCell ref="Y14:AG14"/>
    <mergeCell ref="A3:AH4"/>
    <mergeCell ref="AI3:AW4"/>
    <mergeCell ref="B6:I7"/>
    <mergeCell ref="J6:Q7"/>
    <mergeCell ref="R6:Y7"/>
    <mergeCell ref="Z6:AG7"/>
    <mergeCell ref="AH6:AO7"/>
    <mergeCell ref="AP6:AW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</mergeCells>
  <phoneticPr fontId="3" type="noConversion"/>
  <pageMargins left="0.7" right="0.7" top="0.75" bottom="0.75" header="0.3" footer="0.3"/>
  <pageSetup paperSize="9" scale="99" orientation="portrait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6" tint="0.59999389629810485"/>
  </sheetPr>
  <dimension ref="A1:BC38"/>
  <sheetViews>
    <sheetView zoomScaleNormal="100" zoomScaleSheetLayoutView="85" workbookViewId="0">
      <selection activeCell="B22" sqref="B22:D23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'3일'!AI3:AW4+1</f>
        <v>46116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'3일'!AH8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'3일'!AH14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>
        <v>0</v>
      </c>
      <c r="C20" s="65"/>
      <c r="D20" s="65"/>
      <c r="E20" s="65">
        <v>0</v>
      </c>
      <c r="F20" s="65"/>
      <c r="G20" s="65"/>
      <c r="H20" s="65"/>
      <c r="I20" s="65">
        <f>'3일'!E20</f>
        <v>0</v>
      </c>
      <c r="J20" s="65"/>
      <c r="K20" s="65"/>
      <c r="L20" s="65"/>
      <c r="M20" s="65">
        <f>'3일'!I20</f>
        <v>0</v>
      </c>
      <c r="N20" s="65"/>
      <c r="O20" s="65"/>
      <c r="P20" s="65"/>
      <c r="Q20" s="27">
        <f>'3일'!Q20+'3일'!M22-'4일'!J8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'3일'!U20</f>
        <v>0</v>
      </c>
      <c r="Z20" s="27"/>
      <c r="AA20" s="27"/>
      <c r="AB20" s="27"/>
      <c r="AC20" s="27">
        <f>'3일'!Y20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>
        <v>0</v>
      </c>
      <c r="C22" s="50"/>
      <c r="D22" s="50"/>
      <c r="E22" s="50">
        <v>0</v>
      </c>
      <c r="F22" s="50"/>
      <c r="G22" s="50"/>
      <c r="H22" s="50"/>
      <c r="I22" s="50">
        <f>'3일'!E22</f>
        <v>0</v>
      </c>
      <c r="J22" s="50"/>
      <c r="K22" s="50"/>
      <c r="L22" s="50"/>
      <c r="M22" s="50">
        <f>'3일'!I22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'3일'!H30:M30</f>
        <v>0</v>
      </c>
      <c r="I27" s="39"/>
      <c r="J27" s="39"/>
      <c r="K27" s="39"/>
      <c r="L27" s="39"/>
      <c r="M27" s="39"/>
      <c r="N27" s="40">
        <f>'3일'!N30:S30</f>
        <v>0</v>
      </c>
      <c r="O27" s="40"/>
      <c r="P27" s="40"/>
      <c r="Q27" s="40"/>
      <c r="R27" s="40"/>
      <c r="S27" s="40"/>
      <c r="T27" s="40">
        <f>'3일'!T30:Y30</f>
        <v>0</v>
      </c>
      <c r="U27" s="40"/>
      <c r="V27" s="40"/>
      <c r="W27" s="40"/>
      <c r="X27" s="40"/>
      <c r="Y27" s="40"/>
      <c r="Z27" s="40">
        <f>'3일'!Z30:AE30</f>
        <v>0</v>
      </c>
      <c r="AA27" s="40"/>
      <c r="AB27" s="40"/>
      <c r="AC27" s="40"/>
      <c r="AD27" s="40"/>
      <c r="AE27" s="40"/>
      <c r="AF27" s="40">
        <f>'3일'!AF30:AK30</f>
        <v>0</v>
      </c>
      <c r="AG27" s="40"/>
      <c r="AH27" s="40"/>
      <c r="AI27" s="40"/>
      <c r="AJ27" s="40"/>
      <c r="AK27" s="40"/>
      <c r="AL27" s="40">
        <f>'3일'!AL30:AQ30</f>
        <v>0</v>
      </c>
      <c r="AM27" s="40"/>
      <c r="AN27" s="40"/>
      <c r="AO27" s="40"/>
      <c r="AP27" s="40"/>
      <c r="AQ27" s="40"/>
      <c r="AR27" s="40">
        <f>'3일'!AR30:AW30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79"/>
      <c r="AA31" s="79"/>
      <c r="AB31" s="79"/>
      <c r="AC31" s="79"/>
      <c r="AD31" s="79"/>
      <c r="AE31" s="7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 ht="9" customHeight="1">
      <c r="A32" s="1"/>
      <c r="AX32" s="2"/>
    </row>
    <row r="33" spans="1:53" ht="22.5" customHeight="1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AX33" s="2"/>
    </row>
    <row r="34" spans="1:53" ht="15" customHeight="1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3" ht="18" customHeight="1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'3일'!AQ35</f>
        <v>0</v>
      </c>
      <c r="J35" s="69"/>
      <c r="K35" s="69"/>
      <c r="L35" s="69"/>
      <c r="M35" s="69"/>
      <c r="N35" s="69"/>
      <c r="O35" s="69"/>
      <c r="P35" s="69">
        <v>0</v>
      </c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AD35+'3일'!AJ35:AP35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A35" s="15"/>
    </row>
    <row r="36" spans="1:53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'3일'!AQ36</f>
        <v>0</v>
      </c>
      <c r="J36" s="69"/>
      <c r="K36" s="69"/>
      <c r="L36" s="69"/>
      <c r="M36" s="69"/>
      <c r="N36" s="69"/>
      <c r="O36" s="69"/>
      <c r="P36" s="69">
        <f>BA36*90000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AD36+'3일'!AJ36:AP36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  <c r="BA36" s="15"/>
    </row>
    <row r="37" spans="1:53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 t="s">
        <v>47</v>
      </c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3">
      <c r="AE38" s="72"/>
      <c r="AF38" s="43"/>
      <c r="AG38" s="43"/>
      <c r="AH38" s="43"/>
      <c r="AI38" s="43"/>
      <c r="AJ38" s="43"/>
      <c r="AO38" s="42"/>
      <c r="AP38" s="42"/>
    </row>
  </sheetData>
  <mergeCells count="130">
    <mergeCell ref="A1:AX2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4:H15"/>
    <mergeCell ref="I14:P15"/>
    <mergeCell ref="Q14:X15"/>
    <mergeCell ref="Y14:AG14"/>
    <mergeCell ref="AG18:AJ19"/>
    <mergeCell ref="I20:L21"/>
    <mergeCell ref="M20:P21"/>
    <mergeCell ref="I18:L19"/>
    <mergeCell ref="M18:T18"/>
    <mergeCell ref="U18:X19"/>
    <mergeCell ref="Y18:AB19"/>
    <mergeCell ref="AC20:AF23"/>
    <mergeCell ref="AG20:AJ23"/>
    <mergeCell ref="B18:D19"/>
    <mergeCell ref="E18:H19"/>
    <mergeCell ref="T26:Y26"/>
    <mergeCell ref="Z26:AE26"/>
    <mergeCell ref="A3:AH4"/>
    <mergeCell ref="AI3:AW4"/>
    <mergeCell ref="B6:I7"/>
    <mergeCell ref="J6:Q7"/>
    <mergeCell ref="R6:Y7"/>
    <mergeCell ref="Z6:AG7"/>
    <mergeCell ref="AH6:AO7"/>
    <mergeCell ref="AP6:AW7"/>
    <mergeCell ref="AK18:AN19"/>
    <mergeCell ref="AO18:AR19"/>
    <mergeCell ref="AS18:AW19"/>
    <mergeCell ref="M19:P19"/>
    <mergeCell ref="Q19:T19"/>
    <mergeCell ref="P25:Q25"/>
    <mergeCell ref="R25:S25"/>
    <mergeCell ref="E22:H23"/>
    <mergeCell ref="I22:L23"/>
    <mergeCell ref="M22:P23"/>
    <mergeCell ref="AF26:AK26"/>
    <mergeCell ref="AC18:AF19"/>
    <mergeCell ref="AK20:AN23"/>
    <mergeCell ref="AL26:AQ26"/>
    <mergeCell ref="AO20:AR23"/>
    <mergeCell ref="AR26:AW26"/>
    <mergeCell ref="AS20:AW23"/>
    <mergeCell ref="Q20:T23"/>
    <mergeCell ref="U20:X2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6:G26"/>
    <mergeCell ref="H26:M26"/>
    <mergeCell ref="N26:S26"/>
    <mergeCell ref="Y20:AB23"/>
    <mergeCell ref="B20:D21"/>
    <mergeCell ref="E20:H21"/>
    <mergeCell ref="B22:D23"/>
    <mergeCell ref="B34:H34"/>
    <mergeCell ref="I34:O34"/>
    <mergeCell ref="P34:V34"/>
    <mergeCell ref="W34:AC34"/>
    <mergeCell ref="AD34:AI34"/>
    <mergeCell ref="AJ34:AP34"/>
    <mergeCell ref="AQ34:AW34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W31:Y31"/>
    <mergeCell ref="Z31:AE31"/>
    <mergeCell ref="AE38:AJ38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AO38:AP38"/>
    <mergeCell ref="I37:P37"/>
    <mergeCell ref="Q37:X37"/>
    <mergeCell ref="AF37:AN37"/>
    <mergeCell ref="B37:H37"/>
    <mergeCell ref="Y37:AE37"/>
    <mergeCell ref="AO37:AU37"/>
  </mergeCells>
  <phoneticPr fontId="3" type="noConversion"/>
  <pageMargins left="0.7" right="0.7" top="0.75" bottom="0.75" header="0.3" footer="0.3"/>
  <pageSetup paperSize="9" scale="99" orientation="portrait" verticalDpi="429496729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6" tint="0.59999389629810485"/>
  </sheetPr>
  <dimension ref="A1:BC38"/>
  <sheetViews>
    <sheetView zoomScaleNormal="100" zoomScaleSheetLayoutView="85" workbookViewId="0">
      <selection activeCell="I22" sqref="I22:L23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'3일'!AI3:AW4+2</f>
        <v>46117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'4일'!AH8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'4일'!AH14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'4일'!E20</f>
        <v>0</v>
      </c>
      <c r="J20" s="65"/>
      <c r="K20" s="65"/>
      <c r="L20" s="65"/>
      <c r="M20" s="65">
        <f>'4일'!I20</f>
        <v>0</v>
      </c>
      <c r="N20" s="65"/>
      <c r="O20" s="65"/>
      <c r="P20" s="65"/>
      <c r="Q20" s="27">
        <f>'4일'!Q20+'4일'!M22-'5일'!J8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'4일'!U20</f>
        <v>0</v>
      </c>
      <c r="Z20" s="27"/>
      <c r="AA20" s="27"/>
      <c r="AB20" s="27"/>
      <c r="AC20" s="27">
        <f>'4일'!Y20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65">
        <f>'4일'!E22</f>
        <v>0</v>
      </c>
      <c r="J22" s="65"/>
      <c r="K22" s="65"/>
      <c r="L22" s="65"/>
      <c r="M22" s="50">
        <f>'4일'!I22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0"/>
      <c r="J23" s="50"/>
      <c r="K23" s="50"/>
      <c r="L23" s="50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'4일'!H30:M30</f>
        <v>0</v>
      </c>
      <c r="I27" s="39"/>
      <c r="J27" s="39"/>
      <c r="K27" s="39"/>
      <c r="L27" s="39"/>
      <c r="M27" s="39"/>
      <c r="N27" s="40">
        <f>'4일'!N30:S30</f>
        <v>0</v>
      </c>
      <c r="O27" s="40"/>
      <c r="P27" s="40"/>
      <c r="Q27" s="40"/>
      <c r="R27" s="40"/>
      <c r="S27" s="40"/>
      <c r="T27" s="40">
        <f>'4일'!T30:Y30</f>
        <v>0</v>
      </c>
      <c r="U27" s="40"/>
      <c r="V27" s="40"/>
      <c r="W27" s="40"/>
      <c r="X27" s="40"/>
      <c r="Y27" s="40"/>
      <c r="Z27" s="40">
        <f>'4일'!Z30:AE30</f>
        <v>0</v>
      </c>
      <c r="AA27" s="40"/>
      <c r="AB27" s="40"/>
      <c r="AC27" s="40"/>
      <c r="AD27" s="40"/>
      <c r="AE27" s="40"/>
      <c r="AF27" s="40">
        <f>'4일'!AF30:AK30</f>
        <v>0</v>
      </c>
      <c r="AG27" s="40"/>
      <c r="AH27" s="40"/>
      <c r="AI27" s="40"/>
      <c r="AJ27" s="40"/>
      <c r="AK27" s="40"/>
      <c r="AL27" s="40">
        <f>'4일'!AL30:AQ30</f>
        <v>0</v>
      </c>
      <c r="AM27" s="40"/>
      <c r="AN27" s="40"/>
      <c r="AO27" s="40"/>
      <c r="AP27" s="40"/>
      <c r="AQ27" s="40"/>
      <c r="AR27" s="40">
        <f>'4일'!AR30:AW30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 ht="8.25" customHeight="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'4일'!AQ35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AD35+'4일'!AJ35:AP35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'4일'!AQ36</f>
        <v>0</v>
      </c>
      <c r="J36" s="69"/>
      <c r="K36" s="69"/>
      <c r="L36" s="69"/>
      <c r="M36" s="69"/>
      <c r="N36" s="69"/>
      <c r="O36" s="69"/>
      <c r="P36" s="69"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AD36+'4일'!AJ36:AP36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 t="s">
        <v>50</v>
      </c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29">
    <mergeCell ref="I37:P37"/>
    <mergeCell ref="Q37:X37"/>
    <mergeCell ref="AF37:AN37"/>
    <mergeCell ref="B37:H37"/>
    <mergeCell ref="Y37:AE37"/>
    <mergeCell ref="AO37:AU3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8:D19"/>
    <mergeCell ref="E18:H19"/>
    <mergeCell ref="I18:L19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U18:X19"/>
    <mergeCell ref="Y18:AB19"/>
    <mergeCell ref="B14:H15"/>
    <mergeCell ref="I14:P15"/>
    <mergeCell ref="Q14:X15"/>
    <mergeCell ref="Y14:AG14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B22:D23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M18:T18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AE38:AJ38"/>
    <mergeCell ref="W31:Y31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Z31:AE31"/>
    <mergeCell ref="AD34:AI34"/>
    <mergeCell ref="AJ34:AP34"/>
    <mergeCell ref="AQ34:AW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6" tint="0.59999389629810485"/>
  </sheetPr>
  <dimension ref="A1:BC38"/>
  <sheetViews>
    <sheetView zoomScaleNormal="100" zoomScaleSheetLayoutView="85" workbookViewId="0">
      <selection activeCell="I20" sqref="I20:L21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</f>
        <v>46118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'5일'!AH8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'5일'!AH14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'5일'!E20</f>
        <v>0</v>
      </c>
      <c r="J20" s="65"/>
      <c r="K20" s="65"/>
      <c r="L20" s="65"/>
      <c r="M20" s="65">
        <f>'5일'!I20</f>
        <v>0</v>
      </c>
      <c r="N20" s="65"/>
      <c r="O20" s="65"/>
      <c r="P20" s="65"/>
      <c r="Q20" s="27">
        <f>'5일'!Q20+'5일'!M22-'6일'!J8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'5일'!U20</f>
        <v>0</v>
      </c>
      <c r="Z20" s="27"/>
      <c r="AA20" s="27"/>
      <c r="AB20" s="27"/>
      <c r="AC20" s="27">
        <f>'5일'!Y20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'5일'!E22</f>
        <v>0</v>
      </c>
      <c r="J22" s="50"/>
      <c r="K22" s="50"/>
      <c r="L22" s="50"/>
      <c r="M22" s="50">
        <f>'5일'!I22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'5일'!H30:M30</f>
        <v>0</v>
      </c>
      <c r="I27" s="39"/>
      <c r="J27" s="39"/>
      <c r="K27" s="39"/>
      <c r="L27" s="39"/>
      <c r="M27" s="39"/>
      <c r="N27" s="40">
        <f>'5일'!N30:S30</f>
        <v>0</v>
      </c>
      <c r="O27" s="40"/>
      <c r="P27" s="40"/>
      <c r="Q27" s="40"/>
      <c r="R27" s="40"/>
      <c r="S27" s="40"/>
      <c r="T27" s="40">
        <f>'5일'!T30:Y30</f>
        <v>0</v>
      </c>
      <c r="U27" s="40"/>
      <c r="V27" s="40"/>
      <c r="W27" s="40"/>
      <c r="X27" s="40"/>
      <c r="Y27" s="40"/>
      <c r="Z27" s="40">
        <f>'5일'!Z30:AE30</f>
        <v>0</v>
      </c>
      <c r="AA27" s="40"/>
      <c r="AB27" s="40"/>
      <c r="AC27" s="40"/>
      <c r="AD27" s="40"/>
      <c r="AE27" s="40"/>
      <c r="AF27" s="40">
        <f>'5일'!AF30:AK30</f>
        <v>0</v>
      </c>
      <c r="AG27" s="40"/>
      <c r="AH27" s="40"/>
      <c r="AI27" s="40"/>
      <c r="AJ27" s="40"/>
      <c r="AK27" s="40"/>
      <c r="AL27" s="40">
        <f>'5일'!AL30:AQ30</f>
        <v>0</v>
      </c>
      <c r="AM27" s="40"/>
      <c r="AN27" s="40"/>
      <c r="AO27" s="40"/>
      <c r="AP27" s="40"/>
      <c r="AQ27" s="40"/>
      <c r="AR27" s="40">
        <f>'5일'!AR30:AW30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 ht="9.75" customHeight="1">
      <c r="A32" s="1"/>
      <c r="AX32" s="2"/>
    </row>
    <row r="33" spans="1:53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AX33" s="2"/>
    </row>
    <row r="34" spans="1:53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3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'5일'!AQ35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AD35+'5일'!AJ35:AP35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A35" s="15"/>
    </row>
    <row r="36" spans="1:53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'5일'!AQ36</f>
        <v>0</v>
      </c>
      <c r="J36" s="69"/>
      <c r="K36" s="69"/>
      <c r="L36" s="69"/>
      <c r="M36" s="69"/>
      <c r="N36" s="69"/>
      <c r="O36" s="69"/>
      <c r="P36" s="69">
        <f>BA36*90000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AD36+'5일'!AJ36:AP36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  <c r="BA36" s="15"/>
    </row>
    <row r="37" spans="1:53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3">
      <c r="AE38" s="72"/>
      <c r="AF38" s="43"/>
      <c r="AG38" s="43"/>
      <c r="AH38" s="43"/>
      <c r="AI38" s="43"/>
      <c r="AJ38" s="43"/>
    </row>
  </sheetData>
  <mergeCells count="129">
    <mergeCell ref="A1:AX2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AP12:AW13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AE38:AJ38"/>
    <mergeCell ref="W31:Y31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AH14:AO15"/>
    <mergeCell ref="AP14:AW15"/>
    <mergeCell ref="Y15:AG15"/>
    <mergeCell ref="B12:H13"/>
    <mergeCell ref="I12:P13"/>
    <mergeCell ref="Q12:X13"/>
    <mergeCell ref="Y12:AG13"/>
    <mergeCell ref="AH12:AO13"/>
  </mergeCells>
  <phoneticPr fontId="3" type="noConversion"/>
  <pageMargins left="0.7" right="0.7" top="0.75" bottom="0.75" header="0.3" footer="0.3"/>
  <pageSetup paperSize="9" scale="99" orientation="portrait" verticalDpi="429496729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6" tint="0.59999389629810485"/>
  </sheetPr>
  <dimension ref="A1:BC38"/>
  <sheetViews>
    <sheetView topLeftCell="A13" zoomScaleNormal="100" zoomScaleSheetLayoutView="85" workbookViewId="0">
      <selection activeCell="I22" sqref="I22:L23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</f>
        <v>46119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'6일'!AH8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AY12">
        <f>Y15/4290</f>
        <v>0</v>
      </c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'6일'!AH14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'6일'!E20</f>
        <v>0</v>
      </c>
      <c r="J20" s="65"/>
      <c r="K20" s="65"/>
      <c r="L20" s="65"/>
      <c r="M20" s="65">
        <f>'6일'!I20</f>
        <v>0</v>
      </c>
      <c r="N20" s="65"/>
      <c r="O20" s="65"/>
      <c r="P20" s="65"/>
      <c r="Q20" s="27">
        <f>'6일'!Q20+'6일'!M22-'7일'!J8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'6일'!U20</f>
        <v>0</v>
      </c>
      <c r="Z20" s="27"/>
      <c r="AA20" s="27"/>
      <c r="AB20" s="27"/>
      <c r="AC20" s="27">
        <f>'6일'!Y20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'6일'!E22</f>
        <v>0</v>
      </c>
      <c r="J22" s="50"/>
      <c r="K22" s="50"/>
      <c r="L22" s="50"/>
      <c r="M22" s="50">
        <f>'6일'!I22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'6일'!H30:M30</f>
        <v>0</v>
      </c>
      <c r="I27" s="39"/>
      <c r="J27" s="39"/>
      <c r="K27" s="39"/>
      <c r="L27" s="39"/>
      <c r="M27" s="39"/>
      <c r="N27" s="40">
        <f>'6일'!N30:S30</f>
        <v>0</v>
      </c>
      <c r="O27" s="40"/>
      <c r="P27" s="40"/>
      <c r="Q27" s="40"/>
      <c r="R27" s="40"/>
      <c r="S27" s="40"/>
      <c r="T27" s="40">
        <f>'6일'!T30:Y30</f>
        <v>0</v>
      </c>
      <c r="U27" s="40"/>
      <c r="V27" s="40"/>
      <c r="W27" s="40"/>
      <c r="X27" s="40"/>
      <c r="Y27" s="40"/>
      <c r="Z27" s="40">
        <f>'6일'!Z30:AE30</f>
        <v>0</v>
      </c>
      <c r="AA27" s="40"/>
      <c r="AB27" s="40"/>
      <c r="AC27" s="40"/>
      <c r="AD27" s="40"/>
      <c r="AE27" s="40"/>
      <c r="AF27" s="40">
        <f>'6일'!AF30:AK30</f>
        <v>0</v>
      </c>
      <c r="AG27" s="40"/>
      <c r="AH27" s="40"/>
      <c r="AI27" s="40"/>
      <c r="AJ27" s="40"/>
      <c r="AK27" s="40"/>
      <c r="AL27" s="40">
        <f>'6일'!AL30:AQ30</f>
        <v>0</v>
      </c>
      <c r="AM27" s="40"/>
      <c r="AN27" s="40"/>
      <c r="AO27" s="40"/>
      <c r="AP27" s="40"/>
      <c r="AQ27" s="40"/>
      <c r="AR27" s="40">
        <f>'6일'!AR30:AW30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3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AX33" s="2"/>
    </row>
    <row r="34" spans="1:53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3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'6일'!AQ35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AD35+'6일'!AJ35:AP35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A35" s="15"/>
    </row>
    <row r="36" spans="1:53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'6일'!AQ36</f>
        <v>0</v>
      </c>
      <c r="J36" s="69"/>
      <c r="K36" s="69"/>
      <c r="L36" s="69"/>
      <c r="M36" s="69"/>
      <c r="N36" s="69"/>
      <c r="O36" s="69"/>
      <c r="P36" s="69">
        <f>BA36*90000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AD36+'6일'!AJ36:AP36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  <c r="BA36" s="15"/>
    </row>
    <row r="37" spans="1:53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3">
      <c r="AE38" s="72"/>
      <c r="AF38" s="43"/>
      <c r="AG38" s="43"/>
      <c r="AH38" s="43"/>
      <c r="AI38" s="43"/>
      <c r="AJ38" s="43"/>
      <c r="AO38" s="11">
        <f>AO37-AF37</f>
        <v>0</v>
      </c>
    </row>
  </sheetData>
  <mergeCells count="129">
    <mergeCell ref="A1:AX2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I34:O34"/>
    <mergeCell ref="P34:V34"/>
    <mergeCell ref="W34:AC34"/>
    <mergeCell ref="AD34:AI34"/>
    <mergeCell ref="AJ34:AP34"/>
    <mergeCell ref="AQ34:AW34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AE38:AJ38"/>
    <mergeCell ref="W31:Y31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Z31:AE31"/>
    <mergeCell ref="B34:H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0.59999389629810485"/>
  </sheetPr>
  <dimension ref="A1:BC38"/>
  <sheetViews>
    <sheetView topLeftCell="A16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'5일'!AI3:AW4+3</f>
        <v>46120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51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'7일'!AH8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'7일'!AH14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'7일'!E20</f>
        <v>0</v>
      </c>
      <c r="J20" s="65"/>
      <c r="K20" s="65"/>
      <c r="L20" s="65"/>
      <c r="M20" s="65">
        <f>'7일'!I20</f>
        <v>0</v>
      </c>
      <c r="N20" s="65"/>
      <c r="O20" s="65"/>
      <c r="P20" s="65"/>
      <c r="Q20" s="27">
        <f>'7일'!Q20+'7일'!M22-'8일'!J8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'7일'!U20</f>
        <v>0</v>
      </c>
      <c r="Z20" s="27"/>
      <c r="AA20" s="27"/>
      <c r="AB20" s="27"/>
      <c r="AC20" s="27">
        <f>'7일'!Y20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'7일'!E22</f>
        <v>0</v>
      </c>
      <c r="J22" s="50"/>
      <c r="K22" s="50"/>
      <c r="L22" s="50"/>
      <c r="M22" s="50">
        <f>'7일'!I22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'7일'!H30:M30</f>
        <v>0</v>
      </c>
      <c r="I27" s="39"/>
      <c r="J27" s="39"/>
      <c r="K27" s="39"/>
      <c r="L27" s="39"/>
      <c r="M27" s="39"/>
      <c r="N27" s="40">
        <f>'7일'!N30:S30</f>
        <v>0</v>
      </c>
      <c r="O27" s="40"/>
      <c r="P27" s="40"/>
      <c r="Q27" s="40"/>
      <c r="R27" s="40"/>
      <c r="S27" s="40"/>
      <c r="T27" s="40">
        <f>'7일'!T30:Y30</f>
        <v>0</v>
      </c>
      <c r="U27" s="40"/>
      <c r="V27" s="40"/>
      <c r="W27" s="40"/>
      <c r="X27" s="40"/>
      <c r="Y27" s="40"/>
      <c r="Z27" s="40">
        <f>'7일'!Z30:AE30</f>
        <v>0</v>
      </c>
      <c r="AA27" s="40"/>
      <c r="AB27" s="40"/>
      <c r="AC27" s="40"/>
      <c r="AD27" s="40"/>
      <c r="AE27" s="40"/>
      <c r="AF27" s="40">
        <f>'7일'!AF30:AK30</f>
        <v>0</v>
      </c>
      <c r="AG27" s="40"/>
      <c r="AH27" s="40"/>
      <c r="AI27" s="40"/>
      <c r="AJ27" s="40"/>
      <c r="AK27" s="40"/>
      <c r="AL27" s="40">
        <f>'7일'!AL30:AQ30</f>
        <v>0</v>
      </c>
      <c r="AM27" s="40"/>
      <c r="AN27" s="40"/>
      <c r="AO27" s="40"/>
      <c r="AP27" s="40"/>
      <c r="AQ27" s="40"/>
      <c r="AR27" s="40">
        <f>'7일'!AR30:AW30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3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AX33" s="2"/>
    </row>
    <row r="34" spans="1:53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3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'7일'!AQ35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AD35+'7일'!AJ35:AP35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A35" s="15"/>
    </row>
    <row r="36" spans="1:53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'7일'!AQ36</f>
        <v>0</v>
      </c>
      <c r="J36" s="69"/>
      <c r="K36" s="69"/>
      <c r="L36" s="69"/>
      <c r="M36" s="69"/>
      <c r="N36" s="69"/>
      <c r="O36" s="69"/>
      <c r="P36" s="69">
        <f>BA36*90000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AD36+'7일'!AJ36:AP36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  <c r="BA36" s="15"/>
    </row>
    <row r="37" spans="1:53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3">
      <c r="AE38" s="72"/>
      <c r="AF38" s="43"/>
      <c r="AG38" s="43"/>
      <c r="AH38" s="43"/>
      <c r="AI38" s="43"/>
      <c r="AJ38" s="43"/>
    </row>
  </sheetData>
  <mergeCells count="129">
    <mergeCell ref="I37:P37"/>
    <mergeCell ref="Q37:X37"/>
    <mergeCell ref="AF37:AN37"/>
    <mergeCell ref="B37:H37"/>
    <mergeCell ref="Y37:AE37"/>
    <mergeCell ref="AO37:AU3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8:D19"/>
    <mergeCell ref="E18:H19"/>
    <mergeCell ref="I18:L19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U18:X19"/>
    <mergeCell ref="Y18:AB19"/>
    <mergeCell ref="B14:H15"/>
    <mergeCell ref="I14:P15"/>
    <mergeCell ref="Q14:X15"/>
    <mergeCell ref="Y14:AG14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B22:D23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M18:T18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AE38:AJ38"/>
    <mergeCell ref="W31:Y31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Z31:AE31"/>
    <mergeCell ref="AD34:AI34"/>
    <mergeCell ref="AJ34:AP34"/>
    <mergeCell ref="AQ34:AW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6" tint="0.59999389629810485"/>
  </sheetPr>
  <dimension ref="A1:BC38"/>
  <sheetViews>
    <sheetView topLeftCell="A13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'5일'!AI3:AW4+4</f>
        <v>46121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'8일'!AH8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'8일'!AH14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'8일'!E20</f>
        <v>0</v>
      </c>
      <c r="J20" s="65"/>
      <c r="K20" s="65"/>
      <c r="L20" s="65"/>
      <c r="M20" s="65">
        <f>'8일'!I20</f>
        <v>0</v>
      </c>
      <c r="N20" s="65"/>
      <c r="O20" s="65"/>
      <c r="P20" s="65"/>
      <c r="Q20" s="27">
        <f>'8일'!Q20+'8일'!M22-'9일'!J8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'8일'!U20</f>
        <v>0</v>
      </c>
      <c r="Z20" s="27"/>
      <c r="AA20" s="27"/>
      <c r="AB20" s="27"/>
      <c r="AC20" s="27">
        <f>'8일'!Y20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'8일'!E22</f>
        <v>0</v>
      </c>
      <c r="J22" s="50"/>
      <c r="K22" s="50"/>
      <c r="L22" s="50"/>
      <c r="M22" s="50">
        <f>'8일'!I22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AH8-U20-Y20-AC20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'8일'!H30:M30</f>
        <v>0</v>
      </c>
      <c r="I27" s="39"/>
      <c r="J27" s="39"/>
      <c r="K27" s="39"/>
      <c r="L27" s="39"/>
      <c r="M27" s="39"/>
      <c r="N27" s="40">
        <f>'8일'!N30:S30</f>
        <v>0</v>
      </c>
      <c r="O27" s="40"/>
      <c r="P27" s="40"/>
      <c r="Q27" s="40"/>
      <c r="R27" s="40"/>
      <c r="S27" s="40"/>
      <c r="T27" s="40">
        <f>'8일'!T30:Y30</f>
        <v>0</v>
      </c>
      <c r="U27" s="40"/>
      <c r="V27" s="40"/>
      <c r="W27" s="40"/>
      <c r="X27" s="40"/>
      <c r="Y27" s="40"/>
      <c r="Z27" s="40">
        <f>'8일'!Z30:AE30</f>
        <v>0</v>
      </c>
      <c r="AA27" s="40"/>
      <c r="AB27" s="40"/>
      <c r="AC27" s="40"/>
      <c r="AD27" s="40"/>
      <c r="AE27" s="40"/>
      <c r="AF27" s="40">
        <f>'8일'!AF30:AK30</f>
        <v>0</v>
      </c>
      <c r="AG27" s="40"/>
      <c r="AH27" s="40"/>
      <c r="AI27" s="40"/>
      <c r="AJ27" s="40"/>
      <c r="AK27" s="40"/>
      <c r="AL27" s="40">
        <f>'8일'!AL30:AQ30</f>
        <v>0</v>
      </c>
      <c r="AM27" s="40"/>
      <c r="AN27" s="40"/>
      <c r="AO27" s="40"/>
      <c r="AP27" s="40"/>
      <c r="AQ27" s="40"/>
      <c r="AR27" s="40">
        <f>'8일'!AR30:AW30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'8일'!AQ35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AD35+'8일'!AJ35:AP35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'8일'!AQ36</f>
        <v>0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AD36+'8일'!AJ36:AP36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29">
    <mergeCell ref="A1:AX2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I34:O34"/>
    <mergeCell ref="P34:V34"/>
    <mergeCell ref="W34:AC34"/>
    <mergeCell ref="AD34:AI34"/>
    <mergeCell ref="AJ34:AP34"/>
    <mergeCell ref="AQ34:AW34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AE38:AJ38"/>
    <mergeCell ref="W31:Y31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Z31:AE31"/>
    <mergeCell ref="B34:H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6" tint="0.59999389629810485"/>
  </sheetPr>
  <dimension ref="A1:BC37"/>
  <sheetViews>
    <sheetView topLeftCell="A13" zoomScaleNormal="100" zoomScaleSheetLayoutView="130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'5일'!AI3:AW4+5</f>
        <v>46122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'9일'!AH8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'9일'!AH14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27"/>
      <c r="Y14" s="81"/>
      <c r="Z14" s="81"/>
      <c r="AA14" s="81"/>
      <c r="AB14" s="81"/>
      <c r="AC14" s="81"/>
      <c r="AD14" s="81"/>
      <c r="AE14" s="81"/>
      <c r="AF14" s="81"/>
      <c r="AG14" s="81"/>
      <c r="AH14" s="3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27"/>
      <c r="Y15" s="82">
        <f>Y14*0.75</f>
        <v>0</v>
      </c>
      <c r="Z15" s="82"/>
      <c r="AA15" s="82"/>
      <c r="AB15" s="82"/>
      <c r="AC15" s="82"/>
      <c r="AD15" s="82"/>
      <c r="AE15" s="82"/>
      <c r="AF15" s="82"/>
      <c r="AG15" s="82"/>
      <c r="AH15" s="3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'9일'!E20</f>
        <v>0</v>
      </c>
      <c r="J20" s="65"/>
      <c r="K20" s="65"/>
      <c r="L20" s="65"/>
      <c r="M20" s="65">
        <f>'9일'!I20</f>
        <v>0</v>
      </c>
      <c r="N20" s="65"/>
      <c r="O20" s="65"/>
      <c r="P20" s="65"/>
      <c r="Q20" s="27">
        <f>'9일'!Q20+'9일'!M22-'10일'!J8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'9일'!U20</f>
        <v>0</v>
      </c>
      <c r="Z20" s="27"/>
      <c r="AA20" s="27"/>
      <c r="AB20" s="27"/>
      <c r="AC20" s="27">
        <f>'9일'!Y20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'9일'!E22</f>
        <v>0</v>
      </c>
      <c r="J22" s="50"/>
      <c r="K22" s="50"/>
      <c r="L22" s="50"/>
      <c r="M22" s="50">
        <f>'9일'!I22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80">
        <f>'9일'!H30:M30</f>
        <v>0</v>
      </c>
      <c r="I27" s="80"/>
      <c r="J27" s="80"/>
      <c r="K27" s="80"/>
      <c r="L27" s="80"/>
      <c r="M27" s="80"/>
      <c r="N27" s="40">
        <f>'9일'!N30:S30</f>
        <v>0</v>
      </c>
      <c r="O27" s="40"/>
      <c r="P27" s="40"/>
      <c r="Q27" s="40"/>
      <c r="R27" s="40"/>
      <c r="S27" s="40"/>
      <c r="T27" s="40">
        <f>'9일'!T30:Y30</f>
        <v>0</v>
      </c>
      <c r="U27" s="40"/>
      <c r="V27" s="40"/>
      <c r="W27" s="40"/>
      <c r="X27" s="40"/>
      <c r="Y27" s="40"/>
      <c r="Z27" s="40">
        <f>'9일'!Z30:AE30</f>
        <v>0</v>
      </c>
      <c r="AA27" s="40"/>
      <c r="AB27" s="40"/>
      <c r="AC27" s="40"/>
      <c r="AD27" s="40"/>
      <c r="AE27" s="40"/>
      <c r="AF27" s="40">
        <f>'9일'!AF30:AK30</f>
        <v>0</v>
      </c>
      <c r="AG27" s="40"/>
      <c r="AH27" s="40"/>
      <c r="AI27" s="40"/>
      <c r="AJ27" s="40"/>
      <c r="AK27" s="40"/>
      <c r="AL27" s="40">
        <f>'9일'!AL30:AQ30</f>
        <v>0</v>
      </c>
      <c r="AM27" s="40"/>
      <c r="AN27" s="40"/>
      <c r="AO27" s="40"/>
      <c r="AP27" s="40"/>
      <c r="AQ27" s="40"/>
      <c r="AR27" s="40">
        <f>'9일'!AR30:AW30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80">
        <f>H27+H28-H29</f>
        <v>0</v>
      </c>
      <c r="I30" s="80"/>
      <c r="J30" s="80"/>
      <c r="K30" s="80"/>
      <c r="L30" s="80"/>
      <c r="M30" s="80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B32" s="5" t="s">
        <v>37</v>
      </c>
      <c r="C32" s="5"/>
      <c r="D32" s="5"/>
      <c r="E32" s="3"/>
      <c r="F32" s="5"/>
      <c r="G32" s="5"/>
      <c r="H32" s="5"/>
      <c r="I32" s="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AX32" s="2"/>
    </row>
    <row r="33" spans="1:53" ht="24" customHeight="1">
      <c r="A33" s="1"/>
      <c r="B33" s="67"/>
      <c r="C33" s="67"/>
      <c r="D33" s="67"/>
      <c r="E33" s="67"/>
      <c r="F33" s="67"/>
      <c r="G33" s="67"/>
      <c r="H33" s="67"/>
      <c r="I33" s="67" t="s">
        <v>38</v>
      </c>
      <c r="J33" s="67"/>
      <c r="K33" s="67"/>
      <c r="L33" s="67"/>
      <c r="M33" s="67"/>
      <c r="N33" s="67"/>
      <c r="O33" s="67"/>
      <c r="P33" s="67" t="s">
        <v>39</v>
      </c>
      <c r="Q33" s="67"/>
      <c r="R33" s="67"/>
      <c r="S33" s="67"/>
      <c r="T33" s="67"/>
      <c r="U33" s="67"/>
      <c r="V33" s="67"/>
      <c r="W33" s="67" t="s">
        <v>40</v>
      </c>
      <c r="X33" s="67"/>
      <c r="Y33" s="67"/>
      <c r="Z33" s="67"/>
      <c r="AA33" s="67"/>
      <c r="AB33" s="67"/>
      <c r="AC33" s="67"/>
      <c r="AD33" s="67" t="s">
        <v>41</v>
      </c>
      <c r="AE33" s="67"/>
      <c r="AF33" s="67"/>
      <c r="AG33" s="67"/>
      <c r="AH33" s="67"/>
      <c r="AI33" s="67"/>
      <c r="AJ33" s="67" t="s">
        <v>42</v>
      </c>
      <c r="AK33" s="67"/>
      <c r="AL33" s="67"/>
      <c r="AM33" s="67"/>
      <c r="AN33" s="67"/>
      <c r="AO33" s="67"/>
      <c r="AP33" s="67"/>
      <c r="AQ33" s="67" t="s">
        <v>43</v>
      </c>
      <c r="AR33" s="67"/>
      <c r="AS33" s="67"/>
      <c r="AT33" s="67"/>
      <c r="AU33" s="67"/>
      <c r="AV33" s="67"/>
      <c r="AW33" s="67"/>
      <c r="AX33" s="2"/>
    </row>
    <row r="34" spans="1:53" ht="24" customHeight="1">
      <c r="A34" s="1"/>
      <c r="B34" s="67" t="s">
        <v>44</v>
      </c>
      <c r="C34" s="67"/>
      <c r="D34" s="67"/>
      <c r="E34" s="67"/>
      <c r="F34" s="67"/>
      <c r="G34" s="67"/>
      <c r="H34" s="67"/>
      <c r="I34" s="69">
        <f>'9일'!AQ35</f>
        <v>0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>
        <f>Y14</f>
        <v>0</v>
      </c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>
        <f>AD34+'9일'!AJ35:AP35</f>
        <v>0</v>
      </c>
      <c r="AK34" s="69"/>
      <c r="AL34" s="69"/>
      <c r="AM34" s="69"/>
      <c r="AN34" s="69"/>
      <c r="AO34" s="69"/>
      <c r="AP34" s="69"/>
      <c r="AQ34" s="69">
        <f>I34+P34-W34-AD34</f>
        <v>0</v>
      </c>
      <c r="AR34" s="69"/>
      <c r="AS34" s="69"/>
      <c r="AT34" s="69"/>
      <c r="AU34" s="69"/>
      <c r="AV34" s="69"/>
      <c r="AW34" s="69"/>
      <c r="AX34" s="2"/>
      <c r="BA34" s="15"/>
    </row>
    <row r="35" spans="1:53" ht="24" customHeight="1">
      <c r="A35" s="1"/>
      <c r="B35" s="67" t="s">
        <v>45</v>
      </c>
      <c r="C35" s="67"/>
      <c r="D35" s="67"/>
      <c r="E35" s="67"/>
      <c r="F35" s="67"/>
      <c r="G35" s="67"/>
      <c r="H35" s="67"/>
      <c r="I35" s="69">
        <f>'9일'!AQ36</f>
        <v>0</v>
      </c>
      <c r="J35" s="69"/>
      <c r="K35" s="69"/>
      <c r="L35" s="69"/>
      <c r="M35" s="69"/>
      <c r="N35" s="69"/>
      <c r="O35" s="69"/>
      <c r="P35" s="69">
        <v>0</v>
      </c>
      <c r="Q35" s="69"/>
      <c r="R35" s="69"/>
      <c r="S35" s="69"/>
      <c r="T35" s="69"/>
      <c r="U35" s="69"/>
      <c r="V35" s="69"/>
      <c r="W35" s="69">
        <f>W34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AD35+'9일'!AJ36:AP36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A35" s="15"/>
    </row>
    <row r="36" spans="1:53">
      <c r="A36" s="7"/>
      <c r="B36" s="68"/>
      <c r="C36" s="68"/>
      <c r="D36" s="68"/>
      <c r="E36" s="68"/>
      <c r="F36" s="68"/>
      <c r="G36" s="68"/>
      <c r="H36" s="68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68"/>
      <c r="Z36" s="68"/>
      <c r="AA36" s="68"/>
      <c r="AB36" s="68"/>
      <c r="AC36" s="68"/>
      <c r="AD36" s="68"/>
      <c r="AE36" s="68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8"/>
      <c r="AW36" s="8"/>
      <c r="AX36" s="9"/>
    </row>
    <row r="37" spans="1:53">
      <c r="AE37" s="72"/>
      <c r="AF37" s="43"/>
      <c r="AG37" s="43"/>
      <c r="AH37" s="43"/>
      <c r="AI37" s="43"/>
      <c r="AJ37" s="43"/>
    </row>
  </sheetData>
  <mergeCells count="129">
    <mergeCell ref="A1:AX2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I33:O33"/>
    <mergeCell ref="P33:V33"/>
    <mergeCell ref="W33:AC33"/>
    <mergeCell ref="AD33:AI33"/>
    <mergeCell ref="AJ33:AP33"/>
    <mergeCell ref="AQ33:AW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AE37:AJ37"/>
    <mergeCell ref="W31:Y31"/>
    <mergeCell ref="B36:H36"/>
    <mergeCell ref="Y36:AE36"/>
    <mergeCell ref="AO36:AU36"/>
    <mergeCell ref="AQ34:AW34"/>
    <mergeCell ref="B35:H35"/>
    <mergeCell ref="I35:O35"/>
    <mergeCell ref="P35:V35"/>
    <mergeCell ref="W35:AC35"/>
    <mergeCell ref="AD35:AI35"/>
    <mergeCell ref="AJ35:AP35"/>
    <mergeCell ref="AQ35:AW35"/>
    <mergeCell ref="B34:H34"/>
    <mergeCell ref="I34:O34"/>
    <mergeCell ref="P34:V34"/>
    <mergeCell ref="W34:AC34"/>
    <mergeCell ref="AD34:AI34"/>
    <mergeCell ref="AJ34:AP34"/>
    <mergeCell ref="I36:P36"/>
    <mergeCell ref="Q36:X36"/>
    <mergeCell ref="AF36:AN36"/>
    <mergeCell ref="Z31:AE31"/>
    <mergeCell ref="B33:H3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theme="6" tint="0.59999389629810485"/>
  </sheetPr>
  <dimension ref="A1:BC38"/>
  <sheetViews>
    <sheetView topLeftCell="A16" zoomScaleNormal="100" zoomScaleSheetLayoutView="11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63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'5일'!AI3:AW4+6</f>
        <v>46123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'10일'!AH8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'10일'!AH14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27"/>
      <c r="Y14" s="81"/>
      <c r="Z14" s="81"/>
      <c r="AA14" s="81"/>
      <c r="AB14" s="81"/>
      <c r="AC14" s="81"/>
      <c r="AD14" s="81"/>
      <c r="AE14" s="81"/>
      <c r="AF14" s="81"/>
      <c r="AG14" s="81"/>
      <c r="AH14" s="3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27"/>
      <c r="Y15" s="82">
        <f>Y14*0.75</f>
        <v>0</v>
      </c>
      <c r="Z15" s="82"/>
      <c r="AA15" s="82"/>
      <c r="AB15" s="82"/>
      <c r="AC15" s="82"/>
      <c r="AD15" s="82"/>
      <c r="AE15" s="82"/>
      <c r="AF15" s="82"/>
      <c r="AG15" s="82"/>
      <c r="AH15" s="3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'10일'!E20</f>
        <v>0</v>
      </c>
      <c r="J20" s="65"/>
      <c r="K20" s="65"/>
      <c r="L20" s="65"/>
      <c r="M20" s="65">
        <f>'10일'!I20</f>
        <v>0</v>
      </c>
      <c r="N20" s="65"/>
      <c r="O20" s="65"/>
      <c r="P20" s="65"/>
      <c r="Q20" s="27">
        <f>'10일'!Q20+'10일'!M22-'11일'!J8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'10일'!U20</f>
        <v>0</v>
      </c>
      <c r="Z20" s="27"/>
      <c r="AA20" s="27"/>
      <c r="AB20" s="27"/>
      <c r="AC20" s="27">
        <f>'10일'!Y20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'10일'!E22</f>
        <v>0</v>
      </c>
      <c r="J22" s="50"/>
      <c r="K22" s="50"/>
      <c r="L22" s="50"/>
      <c r="M22" s="50">
        <f>'10일'!I22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'10일'!H30:M30</f>
        <v>0</v>
      </c>
      <c r="I27" s="39"/>
      <c r="J27" s="39"/>
      <c r="K27" s="39"/>
      <c r="L27" s="39"/>
      <c r="M27" s="39"/>
      <c r="N27" s="40">
        <f>'10일'!N30:S30</f>
        <v>0</v>
      </c>
      <c r="O27" s="40"/>
      <c r="P27" s="40"/>
      <c r="Q27" s="40"/>
      <c r="R27" s="40"/>
      <c r="S27" s="40"/>
      <c r="T27" s="40">
        <f>'10일'!T30:Y30</f>
        <v>0</v>
      </c>
      <c r="U27" s="40"/>
      <c r="V27" s="40"/>
      <c r="W27" s="40"/>
      <c r="X27" s="40"/>
      <c r="Y27" s="40"/>
      <c r="Z27" s="40">
        <f>'10일'!Z30:AE30</f>
        <v>0</v>
      </c>
      <c r="AA27" s="40"/>
      <c r="AB27" s="40"/>
      <c r="AC27" s="40"/>
      <c r="AD27" s="40"/>
      <c r="AE27" s="40"/>
      <c r="AF27" s="40">
        <f>'10일'!AF30:AK30</f>
        <v>0</v>
      </c>
      <c r="AG27" s="40"/>
      <c r="AH27" s="40"/>
      <c r="AI27" s="40"/>
      <c r="AJ27" s="40"/>
      <c r="AK27" s="40"/>
      <c r="AL27" s="40">
        <f>'10일'!AL30:AQ30</f>
        <v>0</v>
      </c>
      <c r="AM27" s="40"/>
      <c r="AN27" s="40"/>
      <c r="AO27" s="40"/>
      <c r="AP27" s="40"/>
      <c r="AQ27" s="40"/>
      <c r="AR27" s="40">
        <f>'10일'!AR30:AW30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79"/>
      <c r="AA31" s="79"/>
      <c r="AB31" s="79"/>
      <c r="AC31" s="79"/>
      <c r="AD31" s="79"/>
      <c r="AE31" s="7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P33" s="70">
        <v>2</v>
      </c>
      <c r="Q33" s="70"/>
      <c r="R33" s="70"/>
      <c r="S33" s="17"/>
      <c r="T33" s="70">
        <v>1</v>
      </c>
      <c r="U33" s="70"/>
      <c r="V33" s="70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'10일'!AQ34</f>
        <v>0</v>
      </c>
      <c r="J35" s="69"/>
      <c r="K35" s="69"/>
      <c r="L35" s="69"/>
      <c r="M35" s="69"/>
      <c r="N35" s="69"/>
      <c r="O35" s="69"/>
      <c r="P35" s="69">
        <v>0</v>
      </c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AD35+'10일'!AJ34:AP34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'10일'!AQ35</f>
        <v>0</v>
      </c>
      <c r="J36" s="69"/>
      <c r="K36" s="69"/>
      <c r="L36" s="69"/>
      <c r="M36" s="69"/>
      <c r="N36" s="69"/>
      <c r="O36" s="69"/>
      <c r="P36" s="69"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AD36+'10일'!AJ35:AP35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A1:AX2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I34:O34"/>
    <mergeCell ref="P34:V34"/>
    <mergeCell ref="W34:AC34"/>
    <mergeCell ref="AD34:AI34"/>
    <mergeCell ref="AJ34:AP34"/>
    <mergeCell ref="AQ34:AW34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AE38:AJ38"/>
    <mergeCell ref="W31:Y31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Z31:AE31"/>
    <mergeCell ref="B34:H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theme="6" tint="0.59999389629810485"/>
  </sheetPr>
  <dimension ref="A1:BC38"/>
  <sheetViews>
    <sheetView topLeftCell="A16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'5일'!AI3:AW4+7</f>
        <v>46124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'11일'!AH8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'11일'!AH14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'11일'!E20</f>
        <v>0</v>
      </c>
      <c r="J20" s="65"/>
      <c r="K20" s="65"/>
      <c r="L20" s="65"/>
      <c r="M20" s="65">
        <f>'11일'!I20</f>
        <v>0</v>
      </c>
      <c r="N20" s="65"/>
      <c r="O20" s="65"/>
      <c r="P20" s="65"/>
      <c r="Q20" s="27">
        <f>'11일'!Q20+'11일'!M22-'12일'!J8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'11일'!U20</f>
        <v>0</v>
      </c>
      <c r="Z20" s="27"/>
      <c r="AA20" s="27"/>
      <c r="AB20" s="27"/>
      <c r="AC20" s="27">
        <f>'11일'!Y20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'11일'!E22</f>
        <v>0</v>
      </c>
      <c r="J22" s="50"/>
      <c r="K22" s="50"/>
      <c r="L22" s="50"/>
      <c r="M22" s="50">
        <f>'11일'!I22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'11일'!H30:M30</f>
        <v>0</v>
      </c>
      <c r="I27" s="39"/>
      <c r="J27" s="39"/>
      <c r="K27" s="39"/>
      <c r="L27" s="39"/>
      <c r="M27" s="39"/>
      <c r="N27" s="40">
        <f>'11일'!N30:S30</f>
        <v>0</v>
      </c>
      <c r="O27" s="40"/>
      <c r="P27" s="40"/>
      <c r="Q27" s="40"/>
      <c r="R27" s="40"/>
      <c r="S27" s="40"/>
      <c r="T27" s="40">
        <f>'11일'!T30:Y30</f>
        <v>0</v>
      </c>
      <c r="U27" s="40"/>
      <c r="V27" s="40"/>
      <c r="W27" s="40"/>
      <c r="X27" s="40"/>
      <c r="Y27" s="40"/>
      <c r="Z27" s="40">
        <f>'11일'!Z30:AE30</f>
        <v>0</v>
      </c>
      <c r="AA27" s="40"/>
      <c r="AB27" s="40"/>
      <c r="AC27" s="40"/>
      <c r="AD27" s="40"/>
      <c r="AE27" s="40"/>
      <c r="AF27" s="40">
        <f>'11일'!AF30:AK30</f>
        <v>0</v>
      </c>
      <c r="AG27" s="40"/>
      <c r="AH27" s="40"/>
      <c r="AI27" s="40"/>
      <c r="AJ27" s="40"/>
      <c r="AK27" s="40"/>
      <c r="AL27" s="40">
        <f>'11일'!AL30:AQ30</f>
        <v>0</v>
      </c>
      <c r="AM27" s="40"/>
      <c r="AN27" s="40"/>
      <c r="AO27" s="40"/>
      <c r="AP27" s="40"/>
      <c r="AQ27" s="40"/>
      <c r="AR27" s="40">
        <f>'11일'!AR30:AW30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P33" s="70">
        <v>2</v>
      </c>
      <c r="Q33" s="70"/>
      <c r="R33" s="70"/>
      <c r="T33" s="83">
        <v>0</v>
      </c>
      <c r="U33" s="83"/>
      <c r="V33" s="83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88" t="s">
        <v>38</v>
      </c>
      <c r="J34" s="89"/>
      <c r="K34" s="89"/>
      <c r="L34" s="89"/>
      <c r="M34" s="89"/>
      <c r="N34" s="89"/>
      <c r="O34" s="90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84">
        <f>'11일'!AQ35</f>
        <v>0</v>
      </c>
      <c r="J35" s="85"/>
      <c r="K35" s="85"/>
      <c r="L35" s="85"/>
      <c r="M35" s="85"/>
      <c r="N35" s="85"/>
      <c r="O35" s="86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AD35+'11일'!AJ35:AP35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84">
        <f>'11일'!AQ36</f>
        <v>0</v>
      </c>
      <c r="J36" s="85"/>
      <c r="K36" s="85"/>
      <c r="L36" s="85"/>
      <c r="M36" s="85"/>
      <c r="N36" s="85"/>
      <c r="O36" s="86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AD36+'11일'!AJ36:AP36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A1:AX2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Z31:AE31"/>
    <mergeCell ref="B34:H34"/>
    <mergeCell ref="I34:O34"/>
    <mergeCell ref="P34:V34"/>
    <mergeCell ref="W34:AC34"/>
    <mergeCell ref="AD34:AI34"/>
    <mergeCell ref="AJ34:AP34"/>
    <mergeCell ref="AQ34:AW34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P33:R33"/>
    <mergeCell ref="T33:V33"/>
    <mergeCell ref="AE38:AJ38"/>
    <mergeCell ref="W31:Y31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</mergeCells>
  <phoneticPr fontId="3" type="noConversion"/>
  <pageMargins left="0.7" right="0.7" top="0.75" bottom="0.75" header="0.3" footer="0.3"/>
  <pageSetup paperSize="9" scale="99" orientation="portrait" horizontalDpi="4294967293" verticalDpi="4294967293" r:id="rId1"/>
  <colBreaks count="1" manualBreakCount="1">
    <brk id="50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theme="6" tint="0.59999389629810485"/>
  </sheetPr>
  <dimension ref="A1:BC38"/>
  <sheetViews>
    <sheetView topLeftCell="A10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'5일'!AI3:AW4+8</f>
        <v>46125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'12일'!AH8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'12일'!AH14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4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4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4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  <c r="BB19" t="s">
        <v>54</v>
      </c>
    </row>
    <row r="20" spans="1:54" ht="12.95" customHeight="1">
      <c r="A20" s="4"/>
      <c r="B20" s="65"/>
      <c r="C20" s="65"/>
      <c r="D20" s="65"/>
      <c r="E20" s="65"/>
      <c r="F20" s="65"/>
      <c r="G20" s="65"/>
      <c r="H20" s="65"/>
      <c r="I20" s="65">
        <f>'12일'!E20</f>
        <v>0</v>
      </c>
      <c r="J20" s="65"/>
      <c r="K20" s="65"/>
      <c r="L20" s="65"/>
      <c r="M20" s="65">
        <f>'12일'!I20</f>
        <v>0</v>
      </c>
      <c r="N20" s="65"/>
      <c r="O20" s="65"/>
      <c r="P20" s="65"/>
      <c r="Q20" s="27">
        <f>'12일'!Q20+'12일'!M22-'13일'!J8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'12일'!U20</f>
        <v>0</v>
      </c>
      <c r="Z20" s="27"/>
      <c r="AA20" s="27"/>
      <c r="AB20" s="27"/>
      <c r="AC20" s="27">
        <f>'12일'!Y20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4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4" ht="12.95" customHeight="1">
      <c r="A22" s="4"/>
      <c r="B22" s="50"/>
      <c r="C22" s="50"/>
      <c r="D22" s="50"/>
      <c r="E22" s="50"/>
      <c r="F22" s="50"/>
      <c r="G22" s="50"/>
      <c r="H22" s="50"/>
      <c r="I22" s="50">
        <f>'12일'!E22</f>
        <v>0</v>
      </c>
      <c r="J22" s="50"/>
      <c r="K22" s="50"/>
      <c r="L22" s="50"/>
      <c r="M22" s="50">
        <f>'12일'!I22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4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  <c r="AY23">
        <v>0</v>
      </c>
    </row>
    <row r="24" spans="1:5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4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 t="s">
        <v>55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4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4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'12일'!H30:M30</f>
        <v>0</v>
      </c>
      <c r="I27" s="39"/>
      <c r="J27" s="39"/>
      <c r="K27" s="39"/>
      <c r="L27" s="39"/>
      <c r="M27" s="39"/>
      <c r="N27" s="40">
        <f>'12일'!N30:S30</f>
        <v>0</v>
      </c>
      <c r="O27" s="40"/>
      <c r="P27" s="40"/>
      <c r="Q27" s="40"/>
      <c r="R27" s="40"/>
      <c r="S27" s="40"/>
      <c r="T27" s="40">
        <f>'12일'!T30:Y30</f>
        <v>0</v>
      </c>
      <c r="U27" s="40"/>
      <c r="V27" s="40"/>
      <c r="W27" s="40"/>
      <c r="X27" s="40"/>
      <c r="Y27" s="40"/>
      <c r="Z27" s="40">
        <f>'12일'!Z30:AE30</f>
        <v>0</v>
      </c>
      <c r="AA27" s="40"/>
      <c r="AB27" s="40"/>
      <c r="AC27" s="40"/>
      <c r="AD27" s="40"/>
      <c r="AE27" s="40"/>
      <c r="AF27" s="40">
        <f>'12일'!AF30:AK30</f>
        <v>0</v>
      </c>
      <c r="AG27" s="40"/>
      <c r="AH27" s="40"/>
      <c r="AI27" s="40"/>
      <c r="AJ27" s="40"/>
      <c r="AK27" s="40"/>
      <c r="AL27" s="40">
        <f>'12일'!AL30:AQ30</f>
        <v>0</v>
      </c>
      <c r="AM27" s="40"/>
      <c r="AN27" s="40"/>
      <c r="AO27" s="40"/>
      <c r="AP27" s="40"/>
      <c r="AQ27" s="40"/>
      <c r="AR27" s="40">
        <f>'12일'!AR30:AW30</f>
        <v>0</v>
      </c>
      <c r="AS27" s="40"/>
      <c r="AT27" s="40"/>
      <c r="AU27" s="40"/>
      <c r="AV27" s="40"/>
      <c r="AW27" s="40"/>
      <c r="AX27" s="2"/>
    </row>
    <row r="28" spans="1:54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4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SUM(O25:S25)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4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4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4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3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'12일'!AQ35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AD35+'12일'!AJ35:AP35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'12일'!AQ36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AD36+'12일'!AJ36:AP36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B37:H37"/>
    <mergeCell ref="Y37:AE37"/>
    <mergeCell ref="AO37:AU3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8:D19"/>
    <mergeCell ref="E18:H19"/>
    <mergeCell ref="I18:L19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U18:X19"/>
    <mergeCell ref="Y18:AB19"/>
    <mergeCell ref="B14:H15"/>
    <mergeCell ref="I14:P15"/>
    <mergeCell ref="Q14:X15"/>
    <mergeCell ref="Y14:AG14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B22:D23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M18:T18"/>
    <mergeCell ref="AJ34:AP34"/>
    <mergeCell ref="AQ34:AW34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P33:R33"/>
    <mergeCell ref="T33:V33"/>
    <mergeCell ref="AE38:AJ38"/>
    <mergeCell ref="W31:Y31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Z31:AE31"/>
    <mergeCell ref="AD34:AI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theme="6" tint="0.59999389629810485"/>
  </sheetPr>
  <dimension ref="A1:BC38"/>
  <sheetViews>
    <sheetView topLeftCell="A13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'5일'!AI3:AW4+9</f>
        <v>46126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'13일'!AH8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'13일'!AH14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'13일'!E20</f>
        <v>0</v>
      </c>
      <c r="J20" s="65"/>
      <c r="K20" s="65"/>
      <c r="L20" s="65"/>
      <c r="M20" s="65">
        <f>'13일'!I20</f>
        <v>0</v>
      </c>
      <c r="N20" s="65"/>
      <c r="O20" s="65"/>
      <c r="P20" s="65"/>
      <c r="Q20" s="27">
        <f>'13일'!Q20+'13일'!M22-'14일'!J8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'13일'!U20</f>
        <v>0</v>
      </c>
      <c r="Z20" s="27"/>
      <c r="AA20" s="27"/>
      <c r="AB20" s="27"/>
      <c r="AC20" s="27">
        <f>'13일'!Y20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'13일'!E22</f>
        <v>0</v>
      </c>
      <c r="J22" s="50"/>
      <c r="K22" s="50"/>
      <c r="L22" s="50"/>
      <c r="M22" s="50">
        <f>'13일'!I22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'13일'!H30:M30</f>
        <v>0</v>
      </c>
      <c r="I27" s="39"/>
      <c r="J27" s="39"/>
      <c r="K27" s="39"/>
      <c r="L27" s="39"/>
      <c r="M27" s="39"/>
      <c r="N27" s="40">
        <f>'13일'!N30:S30</f>
        <v>0</v>
      </c>
      <c r="O27" s="40"/>
      <c r="P27" s="40"/>
      <c r="Q27" s="40"/>
      <c r="R27" s="40"/>
      <c r="S27" s="40"/>
      <c r="T27" s="40">
        <f>'13일'!T30:Y30</f>
        <v>0</v>
      </c>
      <c r="U27" s="40"/>
      <c r="V27" s="40"/>
      <c r="W27" s="40"/>
      <c r="X27" s="40"/>
      <c r="Y27" s="40"/>
      <c r="Z27" s="40">
        <f>'13일'!Z30:AE30</f>
        <v>0</v>
      </c>
      <c r="AA27" s="40"/>
      <c r="AB27" s="40"/>
      <c r="AC27" s="40"/>
      <c r="AD27" s="40"/>
      <c r="AE27" s="40"/>
      <c r="AF27" s="40">
        <f>'13일'!AF30:AK30</f>
        <v>0</v>
      </c>
      <c r="AG27" s="40"/>
      <c r="AH27" s="40"/>
      <c r="AI27" s="40"/>
      <c r="AJ27" s="40"/>
      <c r="AK27" s="40"/>
      <c r="AL27" s="40">
        <f>'13일'!AL30:AQ30</f>
        <v>0</v>
      </c>
      <c r="AM27" s="40"/>
      <c r="AN27" s="40"/>
      <c r="AO27" s="40"/>
      <c r="AP27" s="40"/>
      <c r="AQ27" s="40"/>
      <c r="AR27" s="40">
        <f>'13일'!AR30:AW30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0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'13일'!AQ35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AD35+'13일'!AJ35:AP35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'13일'!AQ36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AD36+'13일'!AJ36:AP36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B37:H37"/>
    <mergeCell ref="Y37:AE37"/>
    <mergeCell ref="AO37:AU3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8:D19"/>
    <mergeCell ref="E18:H19"/>
    <mergeCell ref="I18:L19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U18:X19"/>
    <mergeCell ref="Y18:AB19"/>
    <mergeCell ref="B14:H15"/>
    <mergeCell ref="I14:P15"/>
    <mergeCell ref="Q14:X15"/>
    <mergeCell ref="Y14:AG14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B22:D23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M18:T18"/>
    <mergeCell ref="AJ34:AP34"/>
    <mergeCell ref="AQ34:AW34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P33:R33"/>
    <mergeCell ref="T33:V33"/>
    <mergeCell ref="AE38:AJ38"/>
    <mergeCell ref="W31:Y31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Z31:AE31"/>
    <mergeCell ref="AD34:AI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theme="6" tint="0.59999389629810485"/>
  </sheetPr>
  <dimension ref="A1:BC38"/>
  <sheetViews>
    <sheetView topLeftCell="A13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'5일'!AI3:AW4+10</f>
        <v>46127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'14일'!AH8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'14일'!AH14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'14일'!E20</f>
        <v>0</v>
      </c>
      <c r="J20" s="65"/>
      <c r="K20" s="65"/>
      <c r="L20" s="65"/>
      <c r="M20" s="65">
        <f>'14일'!I20</f>
        <v>0</v>
      </c>
      <c r="N20" s="65"/>
      <c r="O20" s="65"/>
      <c r="P20" s="65"/>
      <c r="Q20" s="27">
        <f>'14일'!Q20+'14일'!M22-'15일'!J8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'14일'!U20</f>
        <v>0</v>
      </c>
      <c r="Z20" s="27"/>
      <c r="AA20" s="27"/>
      <c r="AB20" s="27"/>
      <c r="AC20" s="27">
        <f>'14일'!Y20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'14일'!E22</f>
        <v>0</v>
      </c>
      <c r="J22" s="50"/>
      <c r="K22" s="50"/>
      <c r="L22" s="50"/>
      <c r="M22" s="50">
        <f>'14일'!I22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'14일'!H30:M30</f>
        <v>0</v>
      </c>
      <c r="I27" s="39"/>
      <c r="J27" s="39"/>
      <c r="K27" s="39"/>
      <c r="L27" s="39"/>
      <c r="M27" s="39"/>
      <c r="N27" s="40">
        <f>'14일'!N30:S30</f>
        <v>0</v>
      </c>
      <c r="O27" s="40"/>
      <c r="P27" s="40"/>
      <c r="Q27" s="40"/>
      <c r="R27" s="40"/>
      <c r="S27" s="40"/>
      <c r="T27" s="40">
        <f>'14일'!T30:Y30</f>
        <v>0</v>
      </c>
      <c r="U27" s="40"/>
      <c r="V27" s="40"/>
      <c r="W27" s="40"/>
      <c r="X27" s="40"/>
      <c r="Y27" s="40"/>
      <c r="Z27" s="40">
        <f>'14일'!Z30:AE30</f>
        <v>0</v>
      </c>
      <c r="AA27" s="40"/>
      <c r="AB27" s="40"/>
      <c r="AC27" s="40"/>
      <c r="AD27" s="40"/>
      <c r="AE27" s="40"/>
      <c r="AF27" s="40">
        <f>'14일'!AF30:AK30</f>
        <v>0</v>
      </c>
      <c r="AG27" s="40"/>
      <c r="AH27" s="40"/>
      <c r="AI27" s="40"/>
      <c r="AJ27" s="40"/>
      <c r="AK27" s="40"/>
      <c r="AL27" s="40">
        <f>'14일'!AL30:AQ30</f>
        <v>0</v>
      </c>
      <c r="AM27" s="40"/>
      <c r="AN27" s="40"/>
      <c r="AO27" s="40"/>
      <c r="AP27" s="40"/>
      <c r="AQ27" s="40"/>
      <c r="AR27" s="40">
        <f>'14일'!AR30:AW30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Z27+Z28-Z29-Z31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3"/>
      <c r="S31" s="23"/>
      <c r="T31" s="92"/>
      <c r="U31" s="92"/>
      <c r="V31" s="92"/>
      <c r="W31" s="92"/>
      <c r="X31" s="92"/>
      <c r="Y31" s="92"/>
      <c r="Z31" s="79"/>
      <c r="AA31" s="79"/>
      <c r="AB31" s="79"/>
      <c r="AC31" s="79"/>
      <c r="AD31" s="79"/>
      <c r="AE31" s="7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'14일'!AQ35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AD35+'14일'!AJ35:AP35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'14일'!AQ36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AD36+'14일'!AJ36:AP36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B37:H37"/>
    <mergeCell ref="Y37:AE37"/>
    <mergeCell ref="AO37:AU37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8:D19"/>
    <mergeCell ref="E18:H19"/>
    <mergeCell ref="I18:L19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U18:X19"/>
    <mergeCell ref="Y18:AB19"/>
    <mergeCell ref="B14:H15"/>
    <mergeCell ref="I14:P15"/>
    <mergeCell ref="Q14:X15"/>
    <mergeCell ref="Y14:AG14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B22:D23"/>
    <mergeCell ref="AK18:AN19"/>
    <mergeCell ref="AO18:AR19"/>
    <mergeCell ref="AS18:AW19"/>
    <mergeCell ref="M19:P19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M18:T18"/>
    <mergeCell ref="AJ34:AP34"/>
    <mergeCell ref="AQ34:AW34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30:G30"/>
    <mergeCell ref="H30:M30"/>
    <mergeCell ref="N30:S30"/>
    <mergeCell ref="T30:Y30"/>
    <mergeCell ref="Z30:AE30"/>
    <mergeCell ref="AF30:AK30"/>
    <mergeCell ref="T31:Y31"/>
    <mergeCell ref="P33:R33"/>
    <mergeCell ref="T33:V33"/>
    <mergeCell ref="AE38:AJ38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Z31:AE31"/>
    <mergeCell ref="AD34:AI3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ignoredErrors>
    <ignoredError sqref="Z30" 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6" tint="0.59999389629810485"/>
  </sheetPr>
  <dimension ref="A1:BC38"/>
  <sheetViews>
    <sheetView topLeftCell="A22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'5일'!AI3:AW4+11</f>
        <v>46128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61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'15일'!AH8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'15일'!AH14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'15일'!E20</f>
        <v>0</v>
      </c>
      <c r="J20" s="65"/>
      <c r="K20" s="65"/>
      <c r="L20" s="65"/>
      <c r="M20" s="65">
        <f>'15일'!I20</f>
        <v>0</v>
      </c>
      <c r="N20" s="65"/>
      <c r="O20" s="65"/>
      <c r="P20" s="65"/>
      <c r="Q20" s="27">
        <f>'15일'!Q20+'15일'!M22-'16일'!J8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'15일'!U20</f>
        <v>0</v>
      </c>
      <c r="Z20" s="27"/>
      <c r="AA20" s="27"/>
      <c r="AB20" s="27"/>
      <c r="AC20" s="27">
        <f>'15일'!Y20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'15일'!E22</f>
        <v>0</v>
      </c>
      <c r="J22" s="50"/>
      <c r="K22" s="50"/>
      <c r="L22" s="50"/>
      <c r="M22" s="50">
        <f>'15일'!I22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6"/>
      <c r="O24" s="16"/>
      <c r="P24" s="16"/>
      <c r="Q24" s="16"/>
      <c r="R24" s="16"/>
      <c r="S24" s="16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48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'15일'!H30:M30</f>
        <v>0</v>
      </c>
      <c r="I27" s="39"/>
      <c r="J27" s="39"/>
      <c r="K27" s="39"/>
      <c r="L27" s="39"/>
      <c r="M27" s="39"/>
      <c r="N27" s="40">
        <f>'15일'!N30:S30</f>
        <v>0</v>
      </c>
      <c r="O27" s="40"/>
      <c r="P27" s="40"/>
      <c r="Q27" s="40"/>
      <c r="R27" s="40"/>
      <c r="S27" s="40"/>
      <c r="T27" s="40">
        <f>'15일'!T30:Y30</f>
        <v>0</v>
      </c>
      <c r="U27" s="40"/>
      <c r="V27" s="40"/>
      <c r="W27" s="40"/>
      <c r="X27" s="40"/>
      <c r="Y27" s="40"/>
      <c r="Z27" s="40">
        <f>'15일'!Z30:AE30</f>
        <v>0</v>
      </c>
      <c r="AA27" s="40"/>
      <c r="AB27" s="40"/>
      <c r="AC27" s="40"/>
      <c r="AD27" s="40"/>
      <c r="AE27" s="40"/>
      <c r="AF27" s="40">
        <f>'15일'!AF30:AK30</f>
        <v>0</v>
      </c>
      <c r="AG27" s="40"/>
      <c r="AH27" s="40"/>
      <c r="AI27" s="40"/>
      <c r="AJ27" s="40"/>
      <c r="AK27" s="40"/>
      <c r="AL27" s="40">
        <f>'15일'!AL30:AQ30</f>
        <v>0</v>
      </c>
      <c r="AM27" s="40"/>
      <c r="AN27" s="40"/>
      <c r="AO27" s="40"/>
      <c r="AP27" s="40"/>
      <c r="AQ27" s="40"/>
      <c r="AR27" s="40">
        <f>'15일'!AR30:AW30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0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'15일'!AQ35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AD35+'15일'!AJ35:AP35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'15일'!AQ36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AD36+'15일'!AJ36:AP36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A1:AX2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AC18:AF19"/>
    <mergeCell ref="AG18:AJ19"/>
    <mergeCell ref="AK18:AN19"/>
    <mergeCell ref="AO18:AR19"/>
    <mergeCell ref="AS18:AW19"/>
    <mergeCell ref="M19:P1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AE38:AJ38"/>
    <mergeCell ref="W31:Y31"/>
    <mergeCell ref="B8:I9"/>
    <mergeCell ref="J8:Q9"/>
    <mergeCell ref="R8:Y9"/>
    <mergeCell ref="Z8:AG9"/>
    <mergeCell ref="AH8:AO9"/>
    <mergeCell ref="AH14:AO15"/>
    <mergeCell ref="E22:H23"/>
    <mergeCell ref="I22:L23"/>
    <mergeCell ref="M22:P23"/>
    <mergeCell ref="Q19:T19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theme="6" tint="0.59999389629810485"/>
  </sheetPr>
  <dimension ref="A1:BC38"/>
  <sheetViews>
    <sheetView topLeftCell="A10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'5일'!AI3:AW4+12</f>
        <v>46129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'16일'!AH8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'16일'!AH14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'16일'!E20</f>
        <v>0</v>
      </c>
      <c r="J20" s="65"/>
      <c r="K20" s="65"/>
      <c r="L20" s="65"/>
      <c r="M20" s="65">
        <f>'16일'!I20</f>
        <v>0</v>
      </c>
      <c r="N20" s="65"/>
      <c r="O20" s="65"/>
      <c r="P20" s="65"/>
      <c r="Q20" s="27">
        <f>'16일'!Q20+'16일'!M22-'17일'!J8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'16일'!U20</f>
        <v>0</v>
      </c>
      <c r="Z20" s="27"/>
      <c r="AA20" s="27"/>
      <c r="AB20" s="27"/>
      <c r="AC20" s="27">
        <f>'16일'!Y20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'16일'!E22</f>
        <v>0</v>
      </c>
      <c r="J22" s="50"/>
      <c r="K22" s="50"/>
      <c r="L22" s="50"/>
      <c r="M22" s="50">
        <f>'16일'!I22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'16일'!H30:M30</f>
        <v>0</v>
      </c>
      <c r="I27" s="39"/>
      <c r="J27" s="39"/>
      <c r="K27" s="39"/>
      <c r="L27" s="39"/>
      <c r="M27" s="39"/>
      <c r="N27" s="40">
        <f>'16일'!N30:S30</f>
        <v>0</v>
      </c>
      <c r="O27" s="40"/>
      <c r="P27" s="40"/>
      <c r="Q27" s="40"/>
      <c r="R27" s="40"/>
      <c r="S27" s="40"/>
      <c r="T27" s="40">
        <f>'16일'!T30:Y30</f>
        <v>0</v>
      </c>
      <c r="U27" s="40"/>
      <c r="V27" s="40"/>
      <c r="W27" s="40"/>
      <c r="X27" s="40"/>
      <c r="Y27" s="40"/>
      <c r="Z27" s="40">
        <f>'16일'!Z30:AE30</f>
        <v>0</v>
      </c>
      <c r="AA27" s="40"/>
      <c r="AB27" s="40"/>
      <c r="AC27" s="40"/>
      <c r="AD27" s="40"/>
      <c r="AE27" s="40"/>
      <c r="AF27" s="40">
        <f>'16일'!AF30:AK30</f>
        <v>0</v>
      </c>
      <c r="AG27" s="40"/>
      <c r="AH27" s="40"/>
      <c r="AI27" s="40"/>
      <c r="AJ27" s="40"/>
      <c r="AK27" s="40"/>
      <c r="AL27" s="40">
        <f>'16일'!AL30:AQ30</f>
        <v>0</v>
      </c>
      <c r="AM27" s="40"/>
      <c r="AN27" s="40"/>
      <c r="AO27" s="40"/>
      <c r="AP27" s="40"/>
      <c r="AQ27" s="40"/>
      <c r="AR27" s="40">
        <f>'16일'!AR30:AW30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79"/>
      <c r="AA31" s="79"/>
      <c r="AB31" s="79"/>
      <c r="AC31" s="79"/>
      <c r="AD31" s="79"/>
      <c r="AE31" s="7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'16일'!AQ35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AD35+'16일'!AJ35:AP35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'16일'!AQ36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AD36+'16일'!AJ36:AP36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theme="6" tint="0.59999389629810485"/>
  </sheetPr>
  <dimension ref="A1:BC38"/>
  <sheetViews>
    <sheetView topLeftCell="A10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'5일'!AI3:AW4+13</f>
        <v>46130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'17일'!AH8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'17일'!AH14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'17일'!E20</f>
        <v>0</v>
      </c>
      <c r="J20" s="65"/>
      <c r="K20" s="65"/>
      <c r="L20" s="65"/>
      <c r="M20" s="65">
        <f>'17일'!I20</f>
        <v>0</v>
      </c>
      <c r="N20" s="65"/>
      <c r="O20" s="65"/>
      <c r="P20" s="65"/>
      <c r="Q20" s="27">
        <f>'17일'!Q20+'17일'!M22-'18일'!J8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'17일'!U20</f>
        <v>0</v>
      </c>
      <c r="Z20" s="27"/>
      <c r="AA20" s="27"/>
      <c r="AB20" s="27"/>
      <c r="AC20" s="27">
        <f>'17일'!Y20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'17일'!E22</f>
        <v>0</v>
      </c>
      <c r="J22" s="50"/>
      <c r="K22" s="50"/>
      <c r="L22" s="50"/>
      <c r="M22" s="50">
        <f>'17일'!I22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19"/>
      <c r="AE25" s="19"/>
      <c r="AF25" s="19"/>
      <c r="AG25" s="19"/>
      <c r="AH25" s="19"/>
      <c r="AI25" s="19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'17일'!H30:M30</f>
        <v>0</v>
      </c>
      <c r="I27" s="39"/>
      <c r="J27" s="39"/>
      <c r="K27" s="39"/>
      <c r="L27" s="39"/>
      <c r="M27" s="39"/>
      <c r="N27" s="40">
        <f>'17일'!N30:S30</f>
        <v>0</v>
      </c>
      <c r="O27" s="40"/>
      <c r="P27" s="40"/>
      <c r="Q27" s="40"/>
      <c r="R27" s="40"/>
      <c r="S27" s="40"/>
      <c r="T27" s="40">
        <f>'17일'!T30:Y30</f>
        <v>0</v>
      </c>
      <c r="U27" s="40"/>
      <c r="V27" s="40"/>
      <c r="W27" s="40"/>
      <c r="X27" s="40"/>
      <c r="Y27" s="40"/>
      <c r="Z27" s="40">
        <f>'17일'!Z30:AE30</f>
        <v>0</v>
      </c>
      <c r="AA27" s="40"/>
      <c r="AB27" s="40"/>
      <c r="AC27" s="40"/>
      <c r="AD27" s="40"/>
      <c r="AE27" s="40"/>
      <c r="AF27" s="40">
        <f>'17일'!AF30:AK30</f>
        <v>0</v>
      </c>
      <c r="AG27" s="40"/>
      <c r="AH27" s="40"/>
      <c r="AI27" s="40"/>
      <c r="AJ27" s="40"/>
      <c r="AK27" s="40"/>
      <c r="AL27" s="40">
        <f>'17일'!AL30:AQ30</f>
        <v>0</v>
      </c>
      <c r="AM27" s="40"/>
      <c r="AN27" s="40"/>
      <c r="AO27" s="40"/>
      <c r="AP27" s="40"/>
      <c r="AQ27" s="40"/>
      <c r="AR27" s="40">
        <f>'17일'!AR30:AW30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'17일'!AQ35</f>
        <v>0</v>
      </c>
      <c r="J35" s="69"/>
      <c r="K35" s="69"/>
      <c r="L35" s="69"/>
      <c r="M35" s="69"/>
      <c r="N35" s="69"/>
      <c r="O35" s="69"/>
      <c r="P35" s="69">
        <v>0</v>
      </c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AD35+'17일'!AJ35:AP35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'17일'!AQ36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AD36+'17일'!AJ36:AP36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A1:AX2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AP12:AW13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AE38:AJ38"/>
    <mergeCell ref="W31:Y31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AH14:AO15"/>
    <mergeCell ref="AP14:AW15"/>
    <mergeCell ref="Y15:AG15"/>
    <mergeCell ref="B12:H13"/>
    <mergeCell ref="I12:P13"/>
    <mergeCell ref="Q12:X13"/>
    <mergeCell ref="Y12:AG13"/>
    <mergeCell ref="AH12:AO1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theme="6" tint="0.59999389629810485"/>
  </sheetPr>
  <dimension ref="A1:BC38"/>
  <sheetViews>
    <sheetView topLeftCell="A13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'5일'!AI3:AW4+14</f>
        <v>46131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'18일'!AH8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'18일'!AH14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2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2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2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  <c r="AZ19" t="s">
        <v>46</v>
      </c>
    </row>
    <row r="20" spans="1:52" ht="12.95" customHeight="1">
      <c r="A20" s="4"/>
      <c r="B20" s="65"/>
      <c r="C20" s="65"/>
      <c r="D20" s="65"/>
      <c r="E20" s="65"/>
      <c r="F20" s="65"/>
      <c r="G20" s="65"/>
      <c r="H20" s="65"/>
      <c r="I20" s="65">
        <f>'18일'!E20</f>
        <v>0</v>
      </c>
      <c r="J20" s="65"/>
      <c r="K20" s="65"/>
      <c r="L20" s="65"/>
      <c r="M20" s="65">
        <f>'18일'!I20</f>
        <v>0</v>
      </c>
      <c r="N20" s="65"/>
      <c r="O20" s="65"/>
      <c r="P20" s="65"/>
      <c r="Q20" s="27">
        <f>'18일'!Q20+'18일'!M22-'19일'!J8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'18일'!U20</f>
        <v>0</v>
      </c>
      <c r="Z20" s="27"/>
      <c r="AA20" s="27"/>
      <c r="AB20" s="27"/>
      <c r="AC20" s="27">
        <f>'18일'!Y20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2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2" ht="12.95" customHeight="1">
      <c r="A22" s="4"/>
      <c r="B22" s="50"/>
      <c r="C22" s="50"/>
      <c r="D22" s="50"/>
      <c r="E22" s="50"/>
      <c r="F22" s="50"/>
      <c r="G22" s="50"/>
      <c r="H22" s="50"/>
      <c r="I22" s="50">
        <f>'18일'!E22</f>
        <v>0</v>
      </c>
      <c r="J22" s="50"/>
      <c r="K22" s="50"/>
      <c r="L22" s="50"/>
      <c r="M22" s="50">
        <f>'18일'!I22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2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2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2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2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2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'18일'!H30:M30</f>
        <v>0</v>
      </c>
      <c r="I27" s="39"/>
      <c r="J27" s="39"/>
      <c r="K27" s="39"/>
      <c r="L27" s="39"/>
      <c r="M27" s="39"/>
      <c r="N27" s="40">
        <f>'18일'!N30:S30</f>
        <v>0</v>
      </c>
      <c r="O27" s="40"/>
      <c r="P27" s="40"/>
      <c r="Q27" s="40"/>
      <c r="R27" s="40"/>
      <c r="S27" s="40"/>
      <c r="T27" s="40">
        <f>'18일'!T30:Y30</f>
        <v>0</v>
      </c>
      <c r="U27" s="40"/>
      <c r="V27" s="40"/>
      <c r="W27" s="40"/>
      <c r="X27" s="40"/>
      <c r="Y27" s="40"/>
      <c r="Z27" s="40">
        <f>'18일'!Z30:AE30</f>
        <v>0</v>
      </c>
      <c r="AA27" s="40"/>
      <c r="AB27" s="40"/>
      <c r="AC27" s="40"/>
      <c r="AD27" s="40"/>
      <c r="AE27" s="40"/>
      <c r="AF27" s="40">
        <f>'18일'!AF30:AK30</f>
        <v>0</v>
      </c>
      <c r="AG27" s="40"/>
      <c r="AH27" s="40"/>
      <c r="AI27" s="40"/>
      <c r="AJ27" s="40"/>
      <c r="AK27" s="40"/>
      <c r="AL27" s="40">
        <f>'18일'!AL30:AQ30</f>
        <v>0</v>
      </c>
      <c r="AM27" s="40"/>
      <c r="AN27" s="40"/>
      <c r="AO27" s="40"/>
      <c r="AP27" s="40"/>
      <c r="AQ27" s="40"/>
      <c r="AR27" s="40">
        <f>'18일'!AR30:AW30</f>
        <v>0</v>
      </c>
      <c r="AS27" s="40"/>
      <c r="AT27" s="40"/>
      <c r="AU27" s="40"/>
      <c r="AV27" s="40"/>
      <c r="AW27" s="40"/>
      <c r="AX27" s="2"/>
    </row>
    <row r="28" spans="1:52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2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2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2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2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'18일'!AQ35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AD35+'18일'!AJ35:AP35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'18일'!AQ36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AD36+'18일'!AJ36:AP36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 t="s">
        <v>67</v>
      </c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6" tint="0.59999389629810485"/>
  </sheetPr>
  <dimension ref="A1:BC38"/>
  <sheetViews>
    <sheetView topLeftCell="A16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'5일'!AI3:AW4+15</f>
        <v>46132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'19일'!AH8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'19일'!AH14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'19일'!E20</f>
        <v>0</v>
      </c>
      <c r="J20" s="65"/>
      <c r="K20" s="65"/>
      <c r="L20" s="65"/>
      <c r="M20" s="65">
        <f>'19일'!I20</f>
        <v>0</v>
      </c>
      <c r="N20" s="65"/>
      <c r="O20" s="65"/>
      <c r="P20" s="65"/>
      <c r="Q20" s="27">
        <f>'19일'!Q20+'19일'!M22-'20일'!J8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'19일'!U20</f>
        <v>0</v>
      </c>
      <c r="Z20" s="27"/>
      <c r="AA20" s="27"/>
      <c r="AB20" s="27"/>
      <c r="AC20" s="27">
        <f>'19일'!Y20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'19일'!E22</f>
        <v>0</v>
      </c>
      <c r="J22" s="50"/>
      <c r="K22" s="50"/>
      <c r="L22" s="50"/>
      <c r="M22" s="50">
        <f>'19일'!I22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'19일'!H30:M30</f>
        <v>0</v>
      </c>
      <c r="I27" s="39"/>
      <c r="J27" s="39"/>
      <c r="K27" s="39"/>
      <c r="L27" s="39"/>
      <c r="M27" s="39"/>
      <c r="N27" s="40">
        <f>'19일'!N30:S30</f>
        <v>0</v>
      </c>
      <c r="O27" s="40"/>
      <c r="P27" s="40"/>
      <c r="Q27" s="40"/>
      <c r="R27" s="40"/>
      <c r="S27" s="40"/>
      <c r="T27" s="40">
        <f>'19일'!T30:Y30</f>
        <v>0</v>
      </c>
      <c r="U27" s="40"/>
      <c r="V27" s="40"/>
      <c r="W27" s="40"/>
      <c r="X27" s="40"/>
      <c r="Y27" s="40"/>
      <c r="Z27" s="40">
        <f>'19일'!Z30:AE30</f>
        <v>0</v>
      </c>
      <c r="AA27" s="40"/>
      <c r="AB27" s="40"/>
      <c r="AC27" s="40"/>
      <c r="AD27" s="40"/>
      <c r="AE27" s="40"/>
      <c r="AF27" s="40">
        <f>'19일'!AF30:AK30</f>
        <v>0</v>
      </c>
      <c r="AG27" s="40"/>
      <c r="AH27" s="40"/>
      <c r="AI27" s="40"/>
      <c r="AJ27" s="40"/>
      <c r="AK27" s="40"/>
      <c r="AL27" s="40">
        <f>'19일'!AL30:AQ30</f>
        <v>0</v>
      </c>
      <c r="AM27" s="40"/>
      <c r="AN27" s="40"/>
      <c r="AO27" s="40"/>
      <c r="AP27" s="40"/>
      <c r="AQ27" s="40"/>
      <c r="AR27" s="40">
        <f>'19일'!AR30:AW30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3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'19일'!AQ35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AD35+'19일'!AJ35:AP35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'19일'!AQ36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AD36+'19일'!AJ36:AP36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0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P33:R33"/>
    <mergeCell ref="T33:V33"/>
    <mergeCell ref="T31:AE31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  <mergeCell ref="B18:D19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6" tint="0.59999389629810485"/>
  </sheetPr>
  <dimension ref="A1:BC38"/>
  <sheetViews>
    <sheetView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'5일'!AI3:AW4+16</f>
        <v>46133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'20일'!AH8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'20일'!AH14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'20일'!E20</f>
        <v>0</v>
      </c>
      <c r="J20" s="65"/>
      <c r="K20" s="65"/>
      <c r="L20" s="65"/>
      <c r="M20" s="65">
        <f>'20일'!I20</f>
        <v>0</v>
      </c>
      <c r="N20" s="65"/>
      <c r="O20" s="65"/>
      <c r="P20" s="65"/>
      <c r="Q20" s="27">
        <f>'20일'!Q20+'20일'!M22-'21일'!J8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'20일'!U20</f>
        <v>0</v>
      </c>
      <c r="Z20" s="27"/>
      <c r="AA20" s="27"/>
      <c r="AB20" s="27"/>
      <c r="AC20" s="27">
        <f>'20일'!Y20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'20일'!E22</f>
        <v>0</v>
      </c>
      <c r="J22" s="50"/>
      <c r="K22" s="50"/>
      <c r="L22" s="50"/>
      <c r="M22" s="50">
        <f>'20일'!I22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16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'20일'!H30:M30</f>
        <v>0</v>
      </c>
      <c r="I27" s="39"/>
      <c r="J27" s="39"/>
      <c r="K27" s="39"/>
      <c r="L27" s="39"/>
      <c r="M27" s="39"/>
      <c r="N27" s="40">
        <f>'20일'!N30:S30</f>
        <v>0</v>
      </c>
      <c r="O27" s="40"/>
      <c r="P27" s="40"/>
      <c r="Q27" s="40"/>
      <c r="R27" s="40"/>
      <c r="S27" s="40"/>
      <c r="T27" s="40">
        <f>'20일'!T30:Y30</f>
        <v>0</v>
      </c>
      <c r="U27" s="40"/>
      <c r="V27" s="40"/>
      <c r="W27" s="40"/>
      <c r="X27" s="40"/>
      <c r="Y27" s="40"/>
      <c r="Z27" s="40">
        <f>'20일'!Z30:AE30</f>
        <v>0</v>
      </c>
      <c r="AA27" s="40"/>
      <c r="AB27" s="40"/>
      <c r="AC27" s="40"/>
      <c r="AD27" s="40"/>
      <c r="AE27" s="40"/>
      <c r="AF27" s="40">
        <f>'20일'!AF30:AK30</f>
        <v>0</v>
      </c>
      <c r="AG27" s="40"/>
      <c r="AH27" s="40"/>
      <c r="AI27" s="40"/>
      <c r="AJ27" s="40"/>
      <c r="AK27" s="40"/>
      <c r="AL27" s="40">
        <f>'20일'!AL30:AQ30</f>
        <v>0</v>
      </c>
      <c r="AM27" s="40"/>
      <c r="AN27" s="40"/>
      <c r="AO27" s="40"/>
      <c r="AP27" s="40"/>
      <c r="AQ27" s="40"/>
      <c r="AR27" s="40">
        <f>'20일'!AR30:AW30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T32" t="s">
        <v>58</v>
      </c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0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'20일'!AQ35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AD35+'20일'!AJ35:AP35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'20일'!AQ36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AD36+'20일'!AJ36:AP36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6" tint="0.59999389629810485"/>
  </sheetPr>
  <dimension ref="A1:BC38"/>
  <sheetViews>
    <sheetView topLeftCell="A16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'5일'!AI3:AW4+17</f>
        <v>46134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'21일'!AH8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'21일'!AH14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'21일'!E20</f>
        <v>0</v>
      </c>
      <c r="J20" s="65"/>
      <c r="K20" s="65"/>
      <c r="L20" s="65"/>
      <c r="M20" s="65">
        <f>'21일'!I20</f>
        <v>0</v>
      </c>
      <c r="N20" s="65"/>
      <c r="O20" s="65"/>
      <c r="P20" s="65"/>
      <c r="Q20" s="27">
        <f>'21일'!Q20+'21일'!M22-'22일'!J8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'21일'!U20</f>
        <v>0</v>
      </c>
      <c r="Z20" s="27"/>
      <c r="AA20" s="27"/>
      <c r="AB20" s="27"/>
      <c r="AC20" s="27">
        <f>'21일'!Y20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'21일'!E22</f>
        <v>0</v>
      </c>
      <c r="J22" s="50"/>
      <c r="K22" s="50"/>
      <c r="L22" s="50"/>
      <c r="M22" s="50">
        <f>'21일'!I22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16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'21일'!H30:M30</f>
        <v>0</v>
      </c>
      <c r="I27" s="39"/>
      <c r="J27" s="39"/>
      <c r="K27" s="39"/>
      <c r="L27" s="39"/>
      <c r="M27" s="39"/>
      <c r="N27" s="40">
        <f>'21일'!N30:S30</f>
        <v>0</v>
      </c>
      <c r="O27" s="40"/>
      <c r="P27" s="40"/>
      <c r="Q27" s="40"/>
      <c r="R27" s="40"/>
      <c r="S27" s="40"/>
      <c r="T27" s="40">
        <f>'21일'!T30:Y30</f>
        <v>0</v>
      </c>
      <c r="U27" s="40"/>
      <c r="V27" s="40"/>
      <c r="W27" s="40"/>
      <c r="X27" s="40"/>
      <c r="Y27" s="40"/>
      <c r="Z27" s="40">
        <f>'21일'!Z30:AE30</f>
        <v>0</v>
      </c>
      <c r="AA27" s="40"/>
      <c r="AB27" s="40"/>
      <c r="AC27" s="40"/>
      <c r="AD27" s="40"/>
      <c r="AE27" s="40"/>
      <c r="AF27" s="40">
        <f>'21일'!AF30:AK30</f>
        <v>0</v>
      </c>
      <c r="AG27" s="40"/>
      <c r="AH27" s="40"/>
      <c r="AI27" s="40"/>
      <c r="AJ27" s="40"/>
      <c r="AK27" s="40"/>
      <c r="AL27" s="40">
        <f>'21일'!AL30:AQ30</f>
        <v>0</v>
      </c>
      <c r="AM27" s="40"/>
      <c r="AN27" s="40"/>
      <c r="AO27" s="40"/>
      <c r="AP27" s="40"/>
      <c r="AQ27" s="40"/>
      <c r="AR27" s="40">
        <f>'21일'!AR30:AW30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'21일'!AQ35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AD35+'21일'!AJ35:AP35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'21일'!AQ36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AD36+'21일'!AJ36:AP36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A1:AX2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AP12:AW13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AE38:AJ38"/>
    <mergeCell ref="W31:Y31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AH14:AO15"/>
    <mergeCell ref="AP14:AW15"/>
    <mergeCell ref="Y15:AG15"/>
    <mergeCell ref="B12:H13"/>
    <mergeCell ref="I12:P13"/>
    <mergeCell ref="Q12:X13"/>
    <mergeCell ref="Y12:AG13"/>
    <mergeCell ref="AH12:AO1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tabColor theme="6" tint="0.59999389629810485"/>
  </sheetPr>
  <dimension ref="A1:BD38"/>
  <sheetViews>
    <sheetView topLeftCell="A13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  <col min="55" max="55" width="9.875" bestFit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59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'5일'!AI3:AW4+18</f>
        <v>46135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'22일'!AH8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'22일'!AH14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6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6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6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6" ht="12.95" customHeight="1">
      <c r="A20" s="4"/>
      <c r="B20" s="65"/>
      <c r="C20" s="65"/>
      <c r="D20" s="65"/>
      <c r="E20" s="65"/>
      <c r="F20" s="65"/>
      <c r="G20" s="65"/>
      <c r="H20" s="65"/>
      <c r="I20" s="65">
        <f>'22일'!E20</f>
        <v>0</v>
      </c>
      <c r="J20" s="65"/>
      <c r="K20" s="65"/>
      <c r="L20" s="65"/>
      <c r="M20" s="65">
        <f>'22일'!I20</f>
        <v>0</v>
      </c>
      <c r="N20" s="65"/>
      <c r="O20" s="65"/>
      <c r="P20" s="65"/>
      <c r="Q20" s="27">
        <f>'22일'!Q20+'22일'!M22-'23일'!J8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'22일'!U20</f>
        <v>0</v>
      </c>
      <c r="Z20" s="27"/>
      <c r="AA20" s="27"/>
      <c r="AB20" s="27"/>
      <c r="AC20" s="27">
        <f>'22일'!Y20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  <c r="BD20" s="12"/>
    </row>
    <row r="21" spans="1:56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  <c r="BD21" s="12"/>
    </row>
    <row r="22" spans="1:56" ht="12.95" customHeight="1">
      <c r="A22" s="4"/>
      <c r="B22" s="50"/>
      <c r="C22" s="50"/>
      <c r="D22" s="50"/>
      <c r="E22" s="50"/>
      <c r="F22" s="50"/>
      <c r="G22" s="50"/>
      <c r="H22" s="50"/>
      <c r="I22" s="50">
        <f>'22일'!E22</f>
        <v>0</v>
      </c>
      <c r="J22" s="50"/>
      <c r="K22" s="50"/>
      <c r="L22" s="50"/>
      <c r="M22" s="50">
        <f>'22일'!I22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  <c r="BD22" s="12"/>
    </row>
    <row r="23" spans="1:56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  <c r="BD23" s="12"/>
    </row>
    <row r="24" spans="1:56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  <c r="BD24" s="12"/>
    </row>
    <row r="25" spans="1:56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  <c r="BD25" s="12"/>
    </row>
    <row r="26" spans="1:56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  <c r="BD26" s="12"/>
    </row>
    <row r="27" spans="1:56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'22일'!H30:M30</f>
        <v>0</v>
      </c>
      <c r="I27" s="39"/>
      <c r="J27" s="39"/>
      <c r="K27" s="39"/>
      <c r="L27" s="39"/>
      <c r="M27" s="39"/>
      <c r="N27" s="40">
        <f>'22일'!N30:S30</f>
        <v>0</v>
      </c>
      <c r="O27" s="40"/>
      <c r="P27" s="40"/>
      <c r="Q27" s="40"/>
      <c r="R27" s="40"/>
      <c r="S27" s="40"/>
      <c r="T27" s="40">
        <f>'22일'!T30:Y30</f>
        <v>0</v>
      </c>
      <c r="U27" s="40"/>
      <c r="V27" s="40"/>
      <c r="W27" s="40"/>
      <c r="X27" s="40"/>
      <c r="Y27" s="40"/>
      <c r="Z27" s="40">
        <f>'22일'!Z30:AE30</f>
        <v>0</v>
      </c>
      <c r="AA27" s="40"/>
      <c r="AB27" s="40"/>
      <c r="AC27" s="40"/>
      <c r="AD27" s="40"/>
      <c r="AE27" s="40"/>
      <c r="AF27" s="40">
        <f>'22일'!AF30:AK30</f>
        <v>0</v>
      </c>
      <c r="AG27" s="40"/>
      <c r="AH27" s="40"/>
      <c r="AI27" s="40"/>
      <c r="AJ27" s="40"/>
      <c r="AK27" s="40"/>
      <c r="AL27" s="40">
        <f>'22일'!AL30:AQ30</f>
        <v>0</v>
      </c>
      <c r="AM27" s="40"/>
      <c r="AN27" s="40"/>
      <c r="AO27" s="40"/>
      <c r="AP27" s="40"/>
      <c r="AQ27" s="40"/>
      <c r="AR27" s="40">
        <f>'22일'!AR30:AW30</f>
        <v>0</v>
      </c>
      <c r="AS27" s="40"/>
      <c r="AT27" s="40"/>
      <c r="AU27" s="40"/>
      <c r="AV27" s="40"/>
      <c r="AW27" s="40"/>
      <c r="AX27" s="2"/>
    </row>
    <row r="28" spans="1:56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6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  <c r="BD29" s="12"/>
    </row>
    <row r="30" spans="1:56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  <c r="BD30" s="12"/>
    </row>
    <row r="31" spans="1:56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  <c r="BD31" s="12"/>
    </row>
    <row r="32" spans="1:56">
      <c r="A32" s="1"/>
      <c r="AX32" s="2"/>
    </row>
    <row r="33" spans="1:54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70">
        <v>1</v>
      </c>
      <c r="U33" s="70"/>
      <c r="V33" s="70"/>
      <c r="W33" s="21"/>
      <c r="AX33" s="2"/>
    </row>
    <row r="34" spans="1:54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4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'22일'!AQ35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AD35+'22일'!AJ35:AP35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  <c r="BB35" s="11"/>
    </row>
    <row r="36" spans="1:54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'22일'!AQ36</f>
        <v>0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AD36+'22일'!AJ36:AP36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4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 t="s">
        <v>53</v>
      </c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  <c r="BB37" s="11"/>
    </row>
    <row r="38" spans="1:54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>
    <tabColor theme="6" tint="0.59999389629810485"/>
  </sheetPr>
  <dimension ref="A1:BC38"/>
  <sheetViews>
    <sheetView topLeftCell="A4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'5일'!AI3:AW4+19</f>
        <v>46136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'23일'!AH8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'23일'!AH14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'23일'!E20</f>
        <v>0</v>
      </c>
      <c r="J20" s="65"/>
      <c r="K20" s="65"/>
      <c r="L20" s="65"/>
      <c r="M20" s="65">
        <f>'23일'!I20</f>
        <v>0</v>
      </c>
      <c r="N20" s="65"/>
      <c r="O20" s="65"/>
      <c r="P20" s="65"/>
      <c r="Q20" s="27">
        <f>'23일'!Q20+'23일'!M22-'24일'!J8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'23일'!U20</f>
        <v>0</v>
      </c>
      <c r="Z20" s="27"/>
      <c r="AA20" s="27"/>
      <c r="AB20" s="27"/>
      <c r="AC20" s="27">
        <f>'23일'!Y20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'23일'!E22</f>
        <v>0</v>
      </c>
      <c r="J22" s="50"/>
      <c r="K22" s="50"/>
      <c r="L22" s="50"/>
      <c r="M22" s="50">
        <f>'23일'!I22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'23일'!H30:M30</f>
        <v>0</v>
      </c>
      <c r="I27" s="39"/>
      <c r="J27" s="39"/>
      <c r="K27" s="39"/>
      <c r="L27" s="39"/>
      <c r="M27" s="39"/>
      <c r="N27" s="40">
        <f>'23일'!N30:S30</f>
        <v>0</v>
      </c>
      <c r="O27" s="40"/>
      <c r="P27" s="40"/>
      <c r="Q27" s="40"/>
      <c r="R27" s="40"/>
      <c r="S27" s="40"/>
      <c r="T27" s="40">
        <f>'23일'!T30:Y30</f>
        <v>0</v>
      </c>
      <c r="U27" s="40"/>
      <c r="V27" s="40"/>
      <c r="W27" s="40"/>
      <c r="X27" s="40"/>
      <c r="Y27" s="40"/>
      <c r="Z27" s="40">
        <f>'23일'!Z30:AE30</f>
        <v>0</v>
      </c>
      <c r="AA27" s="40"/>
      <c r="AB27" s="40"/>
      <c r="AC27" s="40"/>
      <c r="AD27" s="40"/>
      <c r="AE27" s="40"/>
      <c r="AF27" s="40">
        <f>'23일'!AF30:AK30</f>
        <v>0</v>
      </c>
      <c r="AG27" s="40"/>
      <c r="AH27" s="40"/>
      <c r="AI27" s="40"/>
      <c r="AJ27" s="40"/>
      <c r="AK27" s="40"/>
      <c r="AL27" s="40">
        <f>'23일'!AL30:AQ30</f>
        <v>0</v>
      </c>
      <c r="AM27" s="40"/>
      <c r="AN27" s="40"/>
      <c r="AO27" s="40"/>
      <c r="AP27" s="40"/>
      <c r="AQ27" s="40"/>
      <c r="AR27" s="40">
        <f>'23일'!AR30:AW30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94"/>
      <c r="U31" s="95"/>
      <c r="V31" s="95"/>
      <c r="W31" s="95"/>
      <c r="X31" s="95"/>
      <c r="Y31" s="9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0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88" t="s">
        <v>39</v>
      </c>
      <c r="Q34" s="89"/>
      <c r="R34" s="89"/>
      <c r="S34" s="89"/>
      <c r="T34" s="89"/>
      <c r="U34" s="89"/>
      <c r="V34" s="90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'23일'!AQ35</f>
        <v>0</v>
      </c>
      <c r="J35" s="69"/>
      <c r="K35" s="69"/>
      <c r="L35" s="69"/>
      <c r="M35" s="69"/>
      <c r="N35" s="69"/>
      <c r="O35" s="69"/>
      <c r="P35" s="84"/>
      <c r="Q35" s="85"/>
      <c r="R35" s="85"/>
      <c r="S35" s="85"/>
      <c r="T35" s="85"/>
      <c r="U35" s="85"/>
      <c r="V35" s="86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AD35+'23일'!AJ35:AP35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'23일'!AQ36</f>
        <v>0</v>
      </c>
      <c r="J36" s="69"/>
      <c r="K36" s="69"/>
      <c r="L36" s="69"/>
      <c r="M36" s="69"/>
      <c r="N36" s="69"/>
      <c r="O36" s="69"/>
      <c r="P36" s="84">
        <f>T33*672000</f>
        <v>0</v>
      </c>
      <c r="Q36" s="85"/>
      <c r="R36" s="85"/>
      <c r="S36" s="85"/>
      <c r="T36" s="85"/>
      <c r="U36" s="85"/>
      <c r="V36" s="86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AD36+'23일'!AJ36:AP36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 t="s">
        <v>56</v>
      </c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2">
    <mergeCell ref="A1:AX2"/>
    <mergeCell ref="I37:P37"/>
    <mergeCell ref="Q37:X37"/>
    <mergeCell ref="AF37:AN37"/>
    <mergeCell ref="B37:H37"/>
    <mergeCell ref="Y37:AE37"/>
    <mergeCell ref="AO37:AU37"/>
    <mergeCell ref="B24:AW24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T31:Y31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AE38:AJ38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tabColor theme="6" tint="0.59999389629810485"/>
  </sheetPr>
  <dimension ref="A1:BC38"/>
  <sheetViews>
    <sheetView topLeftCell="A16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'5일'!AI3:AW4+20</f>
        <v>46137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'24일'!AH8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6"/>
      <c r="AQ8" s="26"/>
      <c r="AR8" s="26"/>
      <c r="AS8" s="26"/>
      <c r="AT8" s="26"/>
      <c r="AU8" s="26"/>
      <c r="AV8" s="26"/>
      <c r="AW8" s="26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'24일'!AH14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'24일'!E20</f>
        <v>0</v>
      </c>
      <c r="J20" s="65"/>
      <c r="K20" s="65"/>
      <c r="L20" s="65"/>
      <c r="M20" s="65">
        <f>'24일'!I20</f>
        <v>0</v>
      </c>
      <c r="N20" s="65"/>
      <c r="O20" s="65"/>
      <c r="P20" s="65"/>
      <c r="Q20" s="27">
        <f>'24일'!Q20+'24일'!M22-'25일'!J8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'24일'!U20</f>
        <v>0</v>
      </c>
      <c r="Z20" s="27"/>
      <c r="AA20" s="27"/>
      <c r="AB20" s="27"/>
      <c r="AC20" s="27">
        <f>'24일'!Y20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'24일'!E22</f>
        <v>0</v>
      </c>
      <c r="J22" s="50"/>
      <c r="K22" s="50"/>
      <c r="L22" s="50"/>
      <c r="M22" s="50">
        <f>'24일'!I22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'24일'!H30:M30</f>
        <v>0</v>
      </c>
      <c r="I27" s="39"/>
      <c r="J27" s="39"/>
      <c r="K27" s="39"/>
      <c r="L27" s="39"/>
      <c r="M27" s="39"/>
      <c r="N27" s="40">
        <f>'24일'!N30:S30</f>
        <v>0</v>
      </c>
      <c r="O27" s="40"/>
      <c r="P27" s="40"/>
      <c r="Q27" s="40"/>
      <c r="R27" s="40"/>
      <c r="S27" s="40"/>
      <c r="T27" s="40">
        <f>'24일'!T30:Y30</f>
        <v>0</v>
      </c>
      <c r="U27" s="40"/>
      <c r="V27" s="40"/>
      <c r="W27" s="40"/>
      <c r="X27" s="40"/>
      <c r="Y27" s="40"/>
      <c r="Z27" s="40">
        <f>'24일'!Z30:AE30</f>
        <v>0</v>
      </c>
      <c r="AA27" s="40"/>
      <c r="AB27" s="40"/>
      <c r="AC27" s="40"/>
      <c r="AD27" s="40"/>
      <c r="AE27" s="40"/>
      <c r="AF27" s="40">
        <f>'24일'!AF30:AK30</f>
        <v>0</v>
      </c>
      <c r="AG27" s="40"/>
      <c r="AH27" s="40"/>
      <c r="AI27" s="40"/>
      <c r="AJ27" s="40"/>
      <c r="AK27" s="40"/>
      <c r="AL27" s="40">
        <f>'24일'!AL30:AQ30</f>
        <v>0</v>
      </c>
      <c r="AM27" s="40"/>
      <c r="AN27" s="40"/>
      <c r="AO27" s="40"/>
      <c r="AP27" s="40"/>
      <c r="AQ27" s="40"/>
      <c r="AR27" s="40">
        <f>'24일'!AR30:AW30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0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88" t="s">
        <v>39</v>
      </c>
      <c r="Q34" s="89"/>
      <c r="R34" s="89"/>
      <c r="S34" s="89"/>
      <c r="T34" s="89"/>
      <c r="U34" s="89"/>
      <c r="V34" s="90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'24일'!AQ35</f>
        <v>0</v>
      </c>
      <c r="J35" s="69"/>
      <c r="K35" s="69"/>
      <c r="L35" s="69"/>
      <c r="M35" s="69"/>
      <c r="N35" s="69"/>
      <c r="O35" s="69"/>
      <c r="P35" s="84"/>
      <c r="Q35" s="85"/>
      <c r="R35" s="85"/>
      <c r="S35" s="85"/>
      <c r="T35" s="85"/>
      <c r="U35" s="85"/>
      <c r="V35" s="86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AD35+'24일'!AJ35:AP35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'24일'!AQ36</f>
        <v>0</v>
      </c>
      <c r="J36" s="69"/>
      <c r="K36" s="69"/>
      <c r="L36" s="69"/>
      <c r="M36" s="69"/>
      <c r="N36" s="69"/>
      <c r="O36" s="69"/>
      <c r="P36" s="84">
        <f>T33*672000</f>
        <v>0</v>
      </c>
      <c r="Q36" s="85"/>
      <c r="R36" s="85"/>
      <c r="S36" s="85"/>
      <c r="T36" s="85"/>
      <c r="U36" s="85"/>
      <c r="V36" s="86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AD36+'24일'!AJ36:AP36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 t="s">
        <v>57</v>
      </c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A1:AX2"/>
    <mergeCell ref="B37:H37"/>
    <mergeCell ref="Y37:AE37"/>
    <mergeCell ref="AO37:AU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I37:P37"/>
    <mergeCell ref="Q37:X37"/>
    <mergeCell ref="AF37:AN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I22:L23"/>
    <mergeCell ref="M22:P23"/>
    <mergeCell ref="AC18:AF19"/>
    <mergeCell ref="AG18:AJ19"/>
    <mergeCell ref="AK18:AN19"/>
    <mergeCell ref="AO18:AR19"/>
    <mergeCell ref="AS18:AW19"/>
    <mergeCell ref="M19:P19"/>
    <mergeCell ref="Q19:T19"/>
    <mergeCell ref="AP12:AW13"/>
    <mergeCell ref="B18:D19"/>
    <mergeCell ref="E18:H19"/>
    <mergeCell ref="I18:L19"/>
    <mergeCell ref="M18:T18"/>
    <mergeCell ref="U18:X19"/>
    <mergeCell ref="Y18:AB19"/>
    <mergeCell ref="B14:H15"/>
    <mergeCell ref="I14:P15"/>
    <mergeCell ref="Q14:X15"/>
    <mergeCell ref="Y14:AG14"/>
    <mergeCell ref="AE38:AJ38"/>
    <mergeCell ref="W31:Y31"/>
    <mergeCell ref="B8:I9"/>
    <mergeCell ref="J8:Q9"/>
    <mergeCell ref="R8:Y9"/>
    <mergeCell ref="Z8:AG9"/>
    <mergeCell ref="AH8:AO9"/>
    <mergeCell ref="AP8:AW9"/>
    <mergeCell ref="A3:AH4"/>
    <mergeCell ref="AI3:AW4"/>
    <mergeCell ref="B6:I7"/>
    <mergeCell ref="J6:Q7"/>
    <mergeCell ref="R6:Y7"/>
    <mergeCell ref="Z6:AG7"/>
    <mergeCell ref="AH6:AO7"/>
    <mergeCell ref="AP6:AW7"/>
    <mergeCell ref="AH14:AO15"/>
    <mergeCell ref="AP14:AW15"/>
    <mergeCell ref="Y15:AG15"/>
    <mergeCell ref="B12:H13"/>
    <mergeCell ref="I12:P13"/>
    <mergeCell ref="Q12:X13"/>
    <mergeCell ref="Y12:AG13"/>
    <mergeCell ref="AH12:AO1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theme="6" tint="0.59999389629810485"/>
  </sheetPr>
  <dimension ref="A1:BC38"/>
  <sheetViews>
    <sheetView topLeftCell="A19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'5일'!AI3:AW4+21</f>
        <v>46138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'25일'!AH8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'25일'!AH14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'25일'!E20</f>
        <v>0</v>
      </c>
      <c r="J20" s="65"/>
      <c r="K20" s="65"/>
      <c r="L20" s="65"/>
      <c r="M20" s="65">
        <f>'25일'!I20</f>
        <v>0</v>
      </c>
      <c r="N20" s="65"/>
      <c r="O20" s="65"/>
      <c r="P20" s="65"/>
      <c r="Q20" s="27">
        <f>'25일'!Q20+'25일'!M22-'26일'!J8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'25일'!U20</f>
        <v>0</v>
      </c>
      <c r="Z20" s="27"/>
      <c r="AA20" s="27"/>
      <c r="AB20" s="27"/>
      <c r="AC20" s="27">
        <f>'25일'!Y20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'25일'!E22</f>
        <v>0</v>
      </c>
      <c r="J22" s="50"/>
      <c r="K22" s="50"/>
      <c r="L22" s="50"/>
      <c r="M22" s="50">
        <f>'25일'!I22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'25일'!H30:M30</f>
        <v>0</v>
      </c>
      <c r="I27" s="39"/>
      <c r="J27" s="39"/>
      <c r="K27" s="39"/>
      <c r="L27" s="39"/>
      <c r="M27" s="39"/>
      <c r="N27" s="40">
        <f>'25일'!N30:S30</f>
        <v>0</v>
      </c>
      <c r="O27" s="40"/>
      <c r="P27" s="40"/>
      <c r="Q27" s="40"/>
      <c r="R27" s="40"/>
      <c r="S27" s="40"/>
      <c r="T27" s="40">
        <f>'25일'!T30:Y30</f>
        <v>0</v>
      </c>
      <c r="U27" s="40"/>
      <c r="V27" s="40"/>
      <c r="W27" s="40"/>
      <c r="X27" s="40"/>
      <c r="Y27" s="40"/>
      <c r="Z27" s="40">
        <f>'25일'!Z30:AE30</f>
        <v>0</v>
      </c>
      <c r="AA27" s="40"/>
      <c r="AB27" s="40"/>
      <c r="AC27" s="40"/>
      <c r="AD27" s="40"/>
      <c r="AE27" s="40"/>
      <c r="AF27" s="40">
        <f>'25일'!AF30:AK30</f>
        <v>0</v>
      </c>
      <c r="AG27" s="40"/>
      <c r="AH27" s="40"/>
      <c r="AI27" s="40"/>
      <c r="AJ27" s="40"/>
      <c r="AK27" s="40"/>
      <c r="AL27" s="40">
        <f>'25일'!AL30:AQ30</f>
        <v>0</v>
      </c>
      <c r="AM27" s="40"/>
      <c r="AN27" s="40"/>
      <c r="AO27" s="40"/>
      <c r="AP27" s="40"/>
      <c r="AQ27" s="40"/>
      <c r="AR27" s="40">
        <f>'25일'!AR30:AW30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79"/>
      <c r="AA31" s="79"/>
      <c r="AB31" s="79"/>
      <c r="AC31" s="79"/>
      <c r="AD31" s="79"/>
      <c r="AE31" s="79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'25일'!AQ35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AD35+'25일'!AJ35:AP35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'25일'!AQ36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AD36+'25일'!AJ36:AP36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14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tabColor theme="6" tint="0.59999389629810485"/>
  </sheetPr>
  <dimension ref="A1:BC38"/>
  <sheetViews>
    <sheetView topLeftCell="A16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'5일'!AI3:AW4+22</f>
        <v>46139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'26일'!AH8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'26일'!AH14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28"/>
      <c r="AQ14" s="28"/>
      <c r="AR14" s="28"/>
      <c r="AS14" s="28"/>
      <c r="AT14" s="28"/>
      <c r="AU14" s="28"/>
      <c r="AV14" s="28"/>
      <c r="AW14" s="28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28"/>
      <c r="AQ15" s="28"/>
      <c r="AR15" s="28"/>
      <c r="AS15" s="28"/>
      <c r="AT15" s="28"/>
      <c r="AU15" s="28"/>
      <c r="AV15" s="28"/>
      <c r="AW15" s="28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'26일'!E20</f>
        <v>0</v>
      </c>
      <c r="J20" s="65"/>
      <c r="K20" s="65"/>
      <c r="L20" s="65"/>
      <c r="M20" s="65">
        <f>'26일'!I20</f>
        <v>0</v>
      </c>
      <c r="N20" s="65"/>
      <c r="O20" s="65"/>
      <c r="P20" s="65"/>
      <c r="Q20" s="27">
        <f>'26일'!Q20+'26일'!M22-'27일'!J8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'26일'!U20</f>
        <v>0</v>
      </c>
      <c r="Z20" s="27"/>
      <c r="AA20" s="27"/>
      <c r="AB20" s="27"/>
      <c r="AC20" s="27">
        <f>'26일'!Y20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'26일'!E22</f>
        <v>0</v>
      </c>
      <c r="J22" s="50"/>
      <c r="K22" s="50"/>
      <c r="L22" s="50"/>
      <c r="M22" s="50">
        <f>'26일'!I22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'26일'!H30:M30</f>
        <v>0</v>
      </c>
      <c r="I27" s="39"/>
      <c r="J27" s="39"/>
      <c r="K27" s="39"/>
      <c r="L27" s="39"/>
      <c r="M27" s="39"/>
      <c r="N27" s="40">
        <f>'26일'!N30:S30</f>
        <v>0</v>
      </c>
      <c r="O27" s="40"/>
      <c r="P27" s="40"/>
      <c r="Q27" s="40"/>
      <c r="R27" s="40"/>
      <c r="S27" s="40"/>
      <c r="T27" s="40">
        <f>'26일'!T30:Y30</f>
        <v>0</v>
      </c>
      <c r="U27" s="40"/>
      <c r="V27" s="40"/>
      <c r="W27" s="40"/>
      <c r="X27" s="40"/>
      <c r="Y27" s="40"/>
      <c r="Z27" s="40">
        <f>'26일'!Z30:AE30</f>
        <v>0</v>
      </c>
      <c r="AA27" s="40"/>
      <c r="AB27" s="40"/>
      <c r="AC27" s="40"/>
      <c r="AD27" s="40"/>
      <c r="AE27" s="40"/>
      <c r="AF27" s="40">
        <f>'26일'!AF30:AK30</f>
        <v>0</v>
      </c>
      <c r="AG27" s="40"/>
      <c r="AH27" s="40"/>
      <c r="AI27" s="40"/>
      <c r="AJ27" s="40"/>
      <c r="AK27" s="40"/>
      <c r="AL27" s="40">
        <f>'26일'!AL30:AQ30</f>
        <v>0</v>
      </c>
      <c r="AM27" s="40"/>
      <c r="AN27" s="40"/>
      <c r="AO27" s="40"/>
      <c r="AP27" s="40"/>
      <c r="AQ27" s="40"/>
      <c r="AR27" s="40">
        <f>'26일'!AR30:AW30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3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'26일'!AQ35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AD35+'26일'!AJ35:AP35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'26일'!AQ36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AD36+'26일'!AJ36:AP36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14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theme="6" tint="0.59999389629810485"/>
  </sheetPr>
  <dimension ref="A1:BC38"/>
  <sheetViews>
    <sheetView topLeftCell="A7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'5일'!AI3:AW4+23</f>
        <v>46140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'27일'!AH8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'27일'!AH14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'27일'!E20</f>
        <v>0</v>
      </c>
      <c r="J20" s="65"/>
      <c r="K20" s="65"/>
      <c r="L20" s="65"/>
      <c r="M20" s="65">
        <f>'27일'!I20</f>
        <v>0</v>
      </c>
      <c r="N20" s="65"/>
      <c r="O20" s="65"/>
      <c r="P20" s="65"/>
      <c r="Q20" s="27">
        <f>'27일'!Q20+'27일'!M22-'28일'!J8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'27일'!U20</f>
        <v>0</v>
      </c>
      <c r="Z20" s="27"/>
      <c r="AA20" s="27"/>
      <c r="AB20" s="27"/>
      <c r="AC20" s="27">
        <f>'27일'!Y20</f>
        <v>0</v>
      </c>
      <c r="AD20" s="27"/>
      <c r="AE20" s="27"/>
      <c r="AF20" s="27"/>
      <c r="AG20" s="27">
        <f>AY21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'27일'!E22</f>
        <v>0</v>
      </c>
      <c r="J22" s="50"/>
      <c r="K22" s="50"/>
      <c r="L22" s="50"/>
      <c r="M22" s="50">
        <f>'27일'!I22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52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'27일'!H30:M30</f>
        <v>0</v>
      </c>
      <c r="I27" s="39"/>
      <c r="J27" s="39"/>
      <c r="K27" s="39"/>
      <c r="L27" s="39"/>
      <c r="M27" s="39"/>
      <c r="N27" s="40">
        <f>'27일'!N30:S30</f>
        <v>0</v>
      </c>
      <c r="O27" s="40"/>
      <c r="P27" s="40"/>
      <c r="Q27" s="40"/>
      <c r="R27" s="40"/>
      <c r="S27" s="40"/>
      <c r="T27" s="40">
        <f>'27일'!T30:Y30</f>
        <v>0</v>
      </c>
      <c r="U27" s="40"/>
      <c r="V27" s="40"/>
      <c r="W27" s="40"/>
      <c r="X27" s="40"/>
      <c r="Y27" s="40"/>
      <c r="Z27" s="40">
        <f>'27일'!Z30:AE30</f>
        <v>0</v>
      </c>
      <c r="AA27" s="40"/>
      <c r="AB27" s="40"/>
      <c r="AC27" s="40"/>
      <c r="AD27" s="40"/>
      <c r="AE27" s="40"/>
      <c r="AF27" s="40">
        <f>'27일'!AF30:AK30</f>
        <v>0</v>
      </c>
      <c r="AG27" s="40"/>
      <c r="AH27" s="40"/>
      <c r="AI27" s="40"/>
      <c r="AJ27" s="40"/>
      <c r="AK27" s="40"/>
      <c r="AL27" s="40">
        <f>'27일'!AL30:AQ30</f>
        <v>0</v>
      </c>
      <c r="AM27" s="40"/>
      <c r="AN27" s="40"/>
      <c r="AO27" s="40"/>
      <c r="AP27" s="40"/>
      <c r="AQ27" s="40"/>
      <c r="AR27" s="40">
        <f>'27일'!AR30:AW30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97"/>
      <c r="U31" s="76"/>
      <c r="V31" s="76"/>
      <c r="W31" s="76"/>
      <c r="X31" s="76"/>
      <c r="Y31" s="76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0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'27일'!AQ35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AD35+'27일'!AJ35:AP35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'27일'!AQ36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AD36+'27일'!AJ36:AP36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14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T31:Y31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  <mergeCell ref="B18:D19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tabColor theme="6" tint="0.59999389629810485"/>
  </sheetPr>
  <dimension ref="A1:BC38"/>
  <sheetViews>
    <sheetView topLeftCell="A13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  <col min="53" max="53" width="10.125" bestFit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'5일'!AI3:AW4+24</f>
        <v>46141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'28일'!AH8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'28일'!AH14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1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1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1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1" ht="12.95" customHeight="1">
      <c r="A20" s="4"/>
      <c r="B20" s="65"/>
      <c r="C20" s="65"/>
      <c r="D20" s="65"/>
      <c r="E20" s="65"/>
      <c r="F20" s="65"/>
      <c r="G20" s="65"/>
      <c r="H20" s="65"/>
      <c r="I20" s="65">
        <f>'28일'!E20</f>
        <v>0</v>
      </c>
      <c r="J20" s="65"/>
      <c r="K20" s="65"/>
      <c r="L20" s="65"/>
      <c r="M20" s="65">
        <f>'28일'!I20</f>
        <v>0</v>
      </c>
      <c r="N20" s="65"/>
      <c r="O20" s="65"/>
      <c r="P20" s="65"/>
      <c r="Q20" s="27">
        <f>'28일'!Q20+'28일'!M22-'29일'!J8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'28일'!U20</f>
        <v>0</v>
      </c>
      <c r="Z20" s="27"/>
      <c r="AA20" s="27"/>
      <c r="AB20" s="27"/>
      <c r="AC20" s="27">
        <f>'28일'!Y20</f>
        <v>0</v>
      </c>
      <c r="AD20" s="27"/>
      <c r="AE20" s="27"/>
      <c r="AF20" s="27"/>
      <c r="AG20" s="27">
        <f>AS20-U20-Y20-AC20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1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1" ht="12.95" customHeight="1">
      <c r="A22" s="4"/>
      <c r="B22" s="50"/>
      <c r="C22" s="50"/>
      <c r="D22" s="50"/>
      <c r="E22" s="50"/>
      <c r="F22" s="50"/>
      <c r="G22" s="50"/>
      <c r="H22" s="50"/>
      <c r="I22" s="50">
        <f>'28일'!E22</f>
        <v>0</v>
      </c>
      <c r="J22" s="50"/>
      <c r="K22" s="50"/>
      <c r="L22" s="50"/>
      <c r="M22" s="50">
        <f>'28일'!I22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1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1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52">
        <f>AC20*3</f>
        <v>0</v>
      </c>
      <c r="S25" s="5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1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1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'28일'!H30:M30</f>
        <v>0</v>
      </c>
      <c r="I27" s="39"/>
      <c r="J27" s="39"/>
      <c r="K27" s="39"/>
      <c r="L27" s="39"/>
      <c r="M27" s="39"/>
      <c r="N27" s="40">
        <f>'28일'!N30:S30</f>
        <v>0</v>
      </c>
      <c r="O27" s="40"/>
      <c r="P27" s="40"/>
      <c r="Q27" s="40"/>
      <c r="R27" s="40"/>
      <c r="S27" s="40"/>
      <c r="T27" s="40">
        <f>'28일'!T30:Y30</f>
        <v>0</v>
      </c>
      <c r="U27" s="40"/>
      <c r="V27" s="40"/>
      <c r="W27" s="40"/>
      <c r="X27" s="40"/>
      <c r="Y27" s="40"/>
      <c r="Z27" s="40">
        <f>'28일'!Z30:AE30</f>
        <v>0</v>
      </c>
      <c r="AA27" s="40"/>
      <c r="AB27" s="40"/>
      <c r="AC27" s="40"/>
      <c r="AD27" s="40"/>
      <c r="AE27" s="40"/>
      <c r="AF27" s="40">
        <f>'28일'!AF30:AK30</f>
        <v>0</v>
      </c>
      <c r="AG27" s="40"/>
      <c r="AH27" s="40"/>
      <c r="AI27" s="40"/>
      <c r="AJ27" s="40"/>
      <c r="AK27" s="40"/>
      <c r="AL27" s="40">
        <f>'28일'!AL30:AQ30</f>
        <v>0</v>
      </c>
      <c r="AM27" s="40"/>
      <c r="AN27" s="40"/>
      <c r="AO27" s="40"/>
      <c r="AP27" s="40"/>
      <c r="AQ27" s="40"/>
      <c r="AR27" s="40">
        <f>'28일'!AR30:AW30</f>
        <v>0</v>
      </c>
      <c r="AS27" s="40"/>
      <c r="AT27" s="40"/>
      <c r="AU27" s="40"/>
      <c r="AV27" s="40"/>
      <c r="AW27" s="40"/>
      <c r="AX27" s="2"/>
    </row>
    <row r="28" spans="1:51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1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1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</row>
    <row r="31" spans="1:51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1">
      <c r="A32" s="1"/>
      <c r="AX32" s="2"/>
    </row>
    <row r="33" spans="1:53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3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  <c r="BA34" s="10"/>
    </row>
    <row r="35" spans="1:53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'28일'!AQ35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AD35+'28일'!AJ35:AP35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3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'28일'!AQ36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AD36+'28일'!AJ36:AP36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3">
      <c r="A37" s="14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3">
      <c r="AE38" s="72"/>
      <c r="AF38" s="43"/>
      <c r="AG38" s="43"/>
      <c r="AH38" s="43"/>
      <c r="AI38" s="43"/>
      <c r="AJ38" s="43"/>
    </row>
  </sheetData>
  <mergeCells count="131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18:D19"/>
    <mergeCell ref="E18:H19"/>
    <mergeCell ref="I18:L19"/>
    <mergeCell ref="AK18:AN19"/>
    <mergeCell ref="AO18:AR19"/>
    <mergeCell ref="AS18:AW19"/>
    <mergeCell ref="M19:P19"/>
    <mergeCell ref="Q19:T19"/>
    <mergeCell ref="E22:H23"/>
    <mergeCell ref="I22:L23"/>
    <mergeCell ref="M22:P23"/>
    <mergeCell ref="AC18:AF19"/>
    <mergeCell ref="AG18:AJ19"/>
    <mergeCell ref="I20:L21"/>
    <mergeCell ref="M20:P21"/>
    <mergeCell ref="Q20:T23"/>
    <mergeCell ref="U20:X23"/>
    <mergeCell ref="A3:AH4"/>
    <mergeCell ref="AI3:AW4"/>
    <mergeCell ref="B6:I7"/>
    <mergeCell ref="J6:Q7"/>
    <mergeCell ref="R6:Y7"/>
    <mergeCell ref="Z6:AG7"/>
    <mergeCell ref="AH6:AO7"/>
    <mergeCell ref="AP6:AW7"/>
    <mergeCell ref="A1:AX2"/>
    <mergeCell ref="AE38:AJ38"/>
    <mergeCell ref="W31:Y31"/>
    <mergeCell ref="B8:I9"/>
    <mergeCell ref="J8:Q9"/>
    <mergeCell ref="R8:Y9"/>
    <mergeCell ref="Z8:AG9"/>
    <mergeCell ref="AH8:AO9"/>
    <mergeCell ref="AP8:AW9"/>
    <mergeCell ref="AH14:AO15"/>
    <mergeCell ref="AP14:AW15"/>
    <mergeCell ref="Y15:AG15"/>
    <mergeCell ref="B12:H13"/>
    <mergeCell ref="I12:P13"/>
    <mergeCell ref="Q12:X13"/>
    <mergeCell ref="Y12:AG13"/>
    <mergeCell ref="AH12:AO13"/>
    <mergeCell ref="AP12:AW13"/>
    <mergeCell ref="M18:T18"/>
    <mergeCell ref="U18:X19"/>
    <mergeCell ref="Y18:AB19"/>
    <mergeCell ref="B14:H15"/>
    <mergeCell ref="I14:P15"/>
    <mergeCell ref="Q14:X15"/>
    <mergeCell ref="Y14:AG14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tabColor theme="6" tint="0.59999389629810485"/>
  </sheetPr>
  <dimension ref="A1:BD38"/>
  <sheetViews>
    <sheetView topLeftCell="A10" zoomScaleNormal="100" zoomScaleSheetLayoutView="85" workbookViewId="0">
      <selection activeCell="O25" sqref="O25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'5일'!AI3:AW4+25</f>
        <v>46142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'29일'!AH8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'29일'!AH14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6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6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6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6" ht="12.95" customHeight="1">
      <c r="A20" s="4"/>
      <c r="B20" s="65"/>
      <c r="C20" s="65"/>
      <c r="D20" s="65"/>
      <c r="E20" s="65"/>
      <c r="F20" s="65"/>
      <c r="G20" s="65"/>
      <c r="H20" s="65"/>
      <c r="I20" s="65">
        <f>'29일'!E20</f>
        <v>0</v>
      </c>
      <c r="J20" s="65"/>
      <c r="K20" s="65"/>
      <c r="L20" s="65"/>
      <c r="M20" s="65">
        <f>'29일'!I20</f>
        <v>0</v>
      </c>
      <c r="N20" s="65"/>
      <c r="O20" s="65"/>
      <c r="P20" s="65"/>
      <c r="Q20" s="27">
        <f>'29일'!Q20+'29일'!M22-'30일'!J8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'29일'!U20</f>
        <v>0</v>
      </c>
      <c r="Z20" s="27"/>
      <c r="AA20" s="27"/>
      <c r="AB20" s="27"/>
      <c r="AC20" s="27">
        <f>'29일'!Y20</f>
        <v>0</v>
      </c>
      <c r="AD20" s="27"/>
      <c r="AE20" s="27"/>
      <c r="AF20" s="27"/>
      <c r="AG20" s="27">
        <f>AS20-U20-Y20-AC20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6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6" ht="12.95" customHeight="1">
      <c r="A22" s="4"/>
      <c r="B22" s="50"/>
      <c r="C22" s="50"/>
      <c r="D22" s="50"/>
      <c r="E22" s="50"/>
      <c r="F22" s="50"/>
      <c r="G22" s="50"/>
      <c r="H22" s="50"/>
      <c r="I22" s="50">
        <f>'29일'!E22</f>
        <v>0</v>
      </c>
      <c r="J22" s="50"/>
      <c r="K22" s="50"/>
      <c r="L22" s="50"/>
      <c r="M22" s="50">
        <f>'29일'!I22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6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6">
      <c r="A24" s="4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6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98">
        <f>AC20*3</f>
        <v>0</v>
      </c>
      <c r="S25" s="98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6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6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'29일'!H30:M30</f>
        <v>0</v>
      </c>
      <c r="I27" s="39"/>
      <c r="J27" s="39"/>
      <c r="K27" s="39"/>
      <c r="L27" s="39"/>
      <c r="M27" s="39"/>
      <c r="N27" s="40">
        <f>'29일'!N30:S30</f>
        <v>0</v>
      </c>
      <c r="O27" s="40"/>
      <c r="P27" s="40"/>
      <c r="Q27" s="40"/>
      <c r="R27" s="40"/>
      <c r="S27" s="40"/>
      <c r="T27" s="40">
        <f>'29일'!T30:Y30</f>
        <v>0</v>
      </c>
      <c r="U27" s="40"/>
      <c r="V27" s="40"/>
      <c r="W27" s="40"/>
      <c r="X27" s="40"/>
      <c r="Y27" s="40"/>
      <c r="Z27" s="40">
        <f>'29일'!Z30:AE30</f>
        <v>0</v>
      </c>
      <c r="AA27" s="40"/>
      <c r="AB27" s="40"/>
      <c r="AC27" s="40"/>
      <c r="AD27" s="40"/>
      <c r="AE27" s="40"/>
      <c r="AF27" s="40">
        <f>'29일'!AF30:AK30</f>
        <v>0</v>
      </c>
      <c r="AG27" s="40"/>
      <c r="AH27" s="40"/>
      <c r="AI27" s="40"/>
      <c r="AJ27" s="40"/>
      <c r="AK27" s="40"/>
      <c r="AL27" s="40">
        <f>'29일'!AL30:AQ30</f>
        <v>0</v>
      </c>
      <c r="AM27" s="40"/>
      <c r="AN27" s="40"/>
      <c r="AO27" s="40"/>
      <c r="AP27" s="40"/>
      <c r="AQ27" s="40"/>
      <c r="AR27" s="40">
        <f>'29일'!AR30:AW30</f>
        <v>0</v>
      </c>
      <c r="AS27" s="40"/>
      <c r="AT27" s="40"/>
      <c r="AU27" s="40"/>
      <c r="AV27" s="40"/>
      <c r="AW27" s="40"/>
      <c r="AX27" s="2"/>
    </row>
    <row r="28" spans="1:56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6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6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  <c r="BD30" s="18"/>
    </row>
    <row r="31" spans="1:56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6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'29일'!AQ35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AD35+'29일'!AJ35:AP35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45</v>
      </c>
      <c r="C36" s="67"/>
      <c r="D36" s="67"/>
      <c r="E36" s="67"/>
      <c r="F36" s="67"/>
      <c r="G36" s="67"/>
      <c r="H36" s="67"/>
      <c r="I36" s="69">
        <f>'29일'!AQ36</f>
        <v>0</v>
      </c>
      <c r="J36" s="69"/>
      <c r="K36" s="69"/>
      <c r="L36" s="69"/>
      <c r="M36" s="69"/>
      <c r="N36" s="69"/>
      <c r="O36" s="69"/>
      <c r="P36" s="69">
        <f>T33*672000</f>
        <v>0</v>
      </c>
      <c r="Q36" s="69"/>
      <c r="R36" s="69"/>
      <c r="S36" s="69"/>
      <c r="T36" s="69"/>
      <c r="U36" s="69"/>
      <c r="V36" s="69"/>
      <c r="W36" s="69">
        <f>W35</f>
        <v>0</v>
      </c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>
        <f>AD36+'29일'!AJ36:AP36</f>
        <v>0</v>
      </c>
      <c r="AK36" s="69"/>
      <c r="AL36" s="69"/>
      <c r="AM36" s="69"/>
      <c r="AN36" s="69"/>
      <c r="AO36" s="69"/>
      <c r="AP36" s="69"/>
      <c r="AQ36" s="69">
        <f>I36+P36-W36-AD36</f>
        <v>0</v>
      </c>
      <c r="AR36" s="69"/>
      <c r="AS36" s="69"/>
      <c r="AT36" s="69"/>
      <c r="AU36" s="69"/>
      <c r="AV36" s="69"/>
      <c r="AW36" s="69"/>
      <c r="AX36" s="2"/>
    </row>
    <row r="37" spans="1:50">
      <c r="A37" s="7"/>
      <c r="B37" s="68"/>
      <c r="C37" s="68"/>
      <c r="D37" s="68"/>
      <c r="E37" s="68"/>
      <c r="F37" s="68"/>
      <c r="G37" s="68"/>
      <c r="H37" s="68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68"/>
      <c r="Z37" s="68"/>
      <c r="AA37" s="68"/>
      <c r="AB37" s="68"/>
      <c r="AC37" s="68"/>
      <c r="AD37" s="68"/>
      <c r="AE37" s="68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8"/>
      <c r="AW37" s="8"/>
      <c r="AX37" s="9"/>
    </row>
    <row r="38" spans="1:50">
      <c r="AE38" s="72"/>
      <c r="AF38" s="43"/>
      <c r="AG38" s="43"/>
      <c r="AH38" s="43"/>
      <c r="AI38" s="43"/>
      <c r="AJ38" s="43"/>
    </row>
  </sheetData>
  <mergeCells count="132">
    <mergeCell ref="I37:P37"/>
    <mergeCell ref="Q37:X37"/>
    <mergeCell ref="AF37:AN37"/>
    <mergeCell ref="AQ35:AW35"/>
    <mergeCell ref="B36:H36"/>
    <mergeCell ref="I36:O36"/>
    <mergeCell ref="P36:V36"/>
    <mergeCell ref="W36:AC36"/>
    <mergeCell ref="AD36:AI36"/>
    <mergeCell ref="AJ36:AP36"/>
    <mergeCell ref="AQ36:AW36"/>
    <mergeCell ref="B35:H35"/>
    <mergeCell ref="I35:O35"/>
    <mergeCell ref="P35:V35"/>
    <mergeCell ref="W35:AC35"/>
    <mergeCell ref="AD35:AI35"/>
    <mergeCell ref="AJ35:AP35"/>
    <mergeCell ref="B37:H37"/>
    <mergeCell ref="Y37:AE37"/>
    <mergeCell ref="AO37:AU37"/>
    <mergeCell ref="B34:H34"/>
    <mergeCell ref="I34:O34"/>
    <mergeCell ref="P34:V34"/>
    <mergeCell ref="W34:AC34"/>
    <mergeCell ref="AD34:AI34"/>
    <mergeCell ref="AJ34:AP34"/>
    <mergeCell ref="AQ34:AW34"/>
    <mergeCell ref="B30:G30"/>
    <mergeCell ref="H30:M30"/>
    <mergeCell ref="N30:S30"/>
    <mergeCell ref="T30:Y30"/>
    <mergeCell ref="Z30:AE30"/>
    <mergeCell ref="AF30:AK30"/>
    <mergeCell ref="Z31:AE31"/>
    <mergeCell ref="P33:R33"/>
    <mergeCell ref="T33:V33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30:AQ30"/>
    <mergeCell ref="AR30:AW30"/>
    <mergeCell ref="AR27:AW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M20:P21"/>
    <mergeCell ref="Q20:T23"/>
    <mergeCell ref="U20:X23"/>
    <mergeCell ref="P25:Q25"/>
    <mergeCell ref="R25:S25"/>
    <mergeCell ref="B26:G26"/>
    <mergeCell ref="H26:M26"/>
    <mergeCell ref="N26:S26"/>
    <mergeCell ref="AL27:AQ27"/>
    <mergeCell ref="T26:Y26"/>
    <mergeCell ref="B27:G27"/>
    <mergeCell ref="H27:M27"/>
    <mergeCell ref="N27:S27"/>
    <mergeCell ref="T27:Y27"/>
    <mergeCell ref="Z27:AE27"/>
    <mergeCell ref="AF27:AK27"/>
    <mergeCell ref="E22:H23"/>
    <mergeCell ref="I22:L23"/>
    <mergeCell ref="M22:P23"/>
    <mergeCell ref="Z6:AG7"/>
    <mergeCell ref="AH6:AO7"/>
    <mergeCell ref="AP6:AW7"/>
    <mergeCell ref="AP8:AW9"/>
    <mergeCell ref="AH14:AO15"/>
    <mergeCell ref="AP14:AW15"/>
    <mergeCell ref="Y15:AG15"/>
    <mergeCell ref="Y20:AB23"/>
    <mergeCell ref="AC20:AF23"/>
    <mergeCell ref="AG20:AJ23"/>
    <mergeCell ref="Q12:X13"/>
    <mergeCell ref="Y12:AG13"/>
    <mergeCell ref="AH12:AO13"/>
    <mergeCell ref="AP12:AW13"/>
    <mergeCell ref="B14:H15"/>
    <mergeCell ref="Z26:AE26"/>
    <mergeCell ref="AF26:AK26"/>
    <mergeCell ref="A1:AX2"/>
    <mergeCell ref="B18:D19"/>
    <mergeCell ref="E18:H19"/>
    <mergeCell ref="I18:L19"/>
    <mergeCell ref="AK18:AN19"/>
    <mergeCell ref="AO18:AR19"/>
    <mergeCell ref="AS18:AW19"/>
    <mergeCell ref="M19:P19"/>
    <mergeCell ref="Q19:T19"/>
    <mergeCell ref="I14:P15"/>
    <mergeCell ref="Q14:X15"/>
    <mergeCell ref="Y14:AG14"/>
    <mergeCell ref="A3:AH4"/>
    <mergeCell ref="AI3:AW4"/>
    <mergeCell ref="B6:I7"/>
    <mergeCell ref="J6:Q7"/>
    <mergeCell ref="R6:Y7"/>
    <mergeCell ref="AE38:AJ38"/>
    <mergeCell ref="W31:Y31"/>
    <mergeCell ref="B8:I9"/>
    <mergeCell ref="J8:Q9"/>
    <mergeCell ref="R8:Y9"/>
    <mergeCell ref="Z8:AG9"/>
    <mergeCell ref="AH8:AO9"/>
    <mergeCell ref="M18:T18"/>
    <mergeCell ref="U18:X19"/>
    <mergeCell ref="Y18:AB19"/>
    <mergeCell ref="AC18:AF19"/>
    <mergeCell ref="AG18:AJ19"/>
    <mergeCell ref="I20:L21"/>
    <mergeCell ref="AK20:AN23"/>
    <mergeCell ref="AL26:AQ26"/>
    <mergeCell ref="AO20:AR23"/>
    <mergeCell ref="AR26:AW26"/>
    <mergeCell ref="AS20:AW23"/>
    <mergeCell ref="B20:D21"/>
    <mergeCell ref="E20:H21"/>
    <mergeCell ref="B22:D23"/>
    <mergeCell ref="B24:O24"/>
    <mergeCell ref="B12:H13"/>
    <mergeCell ref="I12:P1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6" tint="0.59999389629810485"/>
  </sheetPr>
  <dimension ref="A1:BD40"/>
  <sheetViews>
    <sheetView topLeftCell="A16" zoomScaleNormal="100" zoomScaleSheetLayoutView="85" workbookViewId="0">
      <selection activeCell="BJ28" sqref="BJ28"/>
    </sheetView>
  </sheetViews>
  <sheetFormatPr defaultRowHeight="16.5"/>
  <cols>
    <col min="1" max="2" width="1.625" customWidth="1"/>
    <col min="3" max="3" width="1.5" customWidth="1"/>
    <col min="4" max="50" width="1.625" customWidth="1"/>
    <col min="51" max="52" width="3.5" hidden="1" customWidth="1"/>
  </cols>
  <sheetData>
    <row r="1" spans="1:55" ht="16.5" customHeight="1">
      <c r="A1" s="59" t="s">
        <v>64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1"/>
    </row>
    <row r="2" spans="1:55" ht="16.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4"/>
    </row>
    <row r="3" spans="1:55" ht="16.5" customHeight="1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58">
        <f>'5일'!AI3:AW4+26</f>
        <v>46143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2"/>
    </row>
    <row r="4" spans="1:55" ht="8.25" customHeight="1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2"/>
    </row>
    <row r="5" spans="1:55">
      <c r="A5" s="4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</row>
    <row r="6" spans="1:55">
      <c r="A6" s="4"/>
      <c r="B6" s="56" t="s">
        <v>2</v>
      </c>
      <c r="C6" s="56"/>
      <c r="D6" s="56"/>
      <c r="E6" s="56"/>
      <c r="F6" s="56"/>
      <c r="G6" s="56"/>
      <c r="H6" s="56"/>
      <c r="I6" s="56"/>
      <c r="J6" s="56" t="s">
        <v>3</v>
      </c>
      <c r="K6" s="56"/>
      <c r="L6" s="56"/>
      <c r="M6" s="56"/>
      <c r="N6" s="56"/>
      <c r="O6" s="56"/>
      <c r="P6" s="56"/>
      <c r="Q6" s="56"/>
      <c r="R6" s="56" t="s">
        <v>4</v>
      </c>
      <c r="S6" s="56"/>
      <c r="T6" s="56"/>
      <c r="U6" s="56"/>
      <c r="V6" s="56"/>
      <c r="W6" s="56"/>
      <c r="X6" s="56"/>
      <c r="Y6" s="56"/>
      <c r="Z6" s="56" t="s">
        <v>62</v>
      </c>
      <c r="AA6" s="56"/>
      <c r="AB6" s="56"/>
      <c r="AC6" s="56"/>
      <c r="AD6" s="56"/>
      <c r="AE6" s="56"/>
      <c r="AF6" s="56"/>
      <c r="AG6" s="56"/>
      <c r="AH6" s="56" t="s">
        <v>6</v>
      </c>
      <c r="AI6" s="56"/>
      <c r="AJ6" s="56"/>
      <c r="AK6" s="56"/>
      <c r="AL6" s="56"/>
      <c r="AM6" s="56"/>
      <c r="AN6" s="56"/>
      <c r="AO6" s="56"/>
      <c r="AP6" s="56" t="s">
        <v>7</v>
      </c>
      <c r="AQ6" s="56"/>
      <c r="AR6" s="56"/>
      <c r="AS6" s="56"/>
      <c r="AT6" s="56"/>
      <c r="AU6" s="56"/>
      <c r="AV6" s="56"/>
      <c r="AW6" s="56"/>
      <c r="AX6" s="2"/>
    </row>
    <row r="7" spans="1:55">
      <c r="A7" s="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2"/>
    </row>
    <row r="8" spans="1:55">
      <c r="A8" s="4"/>
      <c r="B8" s="27">
        <f>'30일'!AH8</f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>
        <f>B8+J8</f>
        <v>0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>
        <f>R8-Z8</f>
        <v>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"/>
      <c r="AY8">
        <f>AH8</f>
        <v>0</v>
      </c>
    </row>
    <row r="9" spans="1:55">
      <c r="A9" s="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"/>
    </row>
    <row r="10" spans="1:5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2"/>
    </row>
    <row r="11" spans="1:55">
      <c r="A11" s="4"/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2"/>
    </row>
    <row r="12" spans="1:55">
      <c r="A12" s="4"/>
      <c r="B12" s="56" t="s">
        <v>2</v>
      </c>
      <c r="C12" s="56"/>
      <c r="D12" s="56"/>
      <c r="E12" s="56"/>
      <c r="F12" s="56"/>
      <c r="G12" s="56"/>
      <c r="H12" s="56"/>
      <c r="I12" s="56" t="s">
        <v>9</v>
      </c>
      <c r="J12" s="56"/>
      <c r="K12" s="56"/>
      <c r="L12" s="56"/>
      <c r="M12" s="56"/>
      <c r="N12" s="56"/>
      <c r="O12" s="56"/>
      <c r="P12" s="56"/>
      <c r="Q12" s="56" t="s">
        <v>4</v>
      </c>
      <c r="R12" s="56"/>
      <c r="S12" s="56"/>
      <c r="T12" s="56"/>
      <c r="U12" s="56"/>
      <c r="V12" s="56"/>
      <c r="W12" s="56"/>
      <c r="X12" s="56"/>
      <c r="Y12" s="56" t="s">
        <v>10</v>
      </c>
      <c r="Z12" s="56"/>
      <c r="AA12" s="56"/>
      <c r="AB12" s="56"/>
      <c r="AC12" s="56"/>
      <c r="AD12" s="56"/>
      <c r="AE12" s="56"/>
      <c r="AF12" s="56"/>
      <c r="AG12" s="56"/>
      <c r="AH12" s="56" t="s">
        <v>6</v>
      </c>
      <c r="AI12" s="56"/>
      <c r="AJ12" s="56"/>
      <c r="AK12" s="56"/>
      <c r="AL12" s="56"/>
      <c r="AM12" s="56"/>
      <c r="AN12" s="56"/>
      <c r="AO12" s="56"/>
      <c r="AP12" s="56" t="s">
        <v>7</v>
      </c>
      <c r="AQ12" s="56"/>
      <c r="AR12" s="56"/>
      <c r="AS12" s="56"/>
      <c r="AT12" s="56"/>
      <c r="AU12" s="56"/>
      <c r="AV12" s="56"/>
      <c r="AW12" s="56"/>
      <c r="AX12" s="2"/>
      <c r="BC12" s="13"/>
    </row>
    <row r="13" spans="1:55">
      <c r="A13" s="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57"/>
      <c r="AA13" s="57"/>
      <c r="AB13" s="57"/>
      <c r="AC13" s="57"/>
      <c r="AD13" s="57"/>
      <c r="AE13" s="57"/>
      <c r="AF13" s="57"/>
      <c r="AG13" s="57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2"/>
    </row>
    <row r="14" spans="1:55" ht="20.100000000000001" customHeight="1">
      <c r="A14" s="4"/>
      <c r="B14" s="34">
        <f>'30일'!AH14</f>
        <v>0</v>
      </c>
      <c r="C14" s="34"/>
      <c r="D14" s="34"/>
      <c r="E14" s="34"/>
      <c r="F14" s="34"/>
      <c r="G14" s="34"/>
      <c r="H14" s="34"/>
      <c r="I14" s="34">
        <f>Z8*4910</f>
        <v>0</v>
      </c>
      <c r="J14" s="34"/>
      <c r="K14" s="34"/>
      <c r="L14" s="34"/>
      <c r="M14" s="34"/>
      <c r="N14" s="34"/>
      <c r="O14" s="34"/>
      <c r="P14" s="34"/>
      <c r="Q14" s="34">
        <f>B14+I14</f>
        <v>0</v>
      </c>
      <c r="R14" s="27"/>
      <c r="S14" s="27"/>
      <c r="T14" s="27"/>
      <c r="U14" s="27"/>
      <c r="V14" s="27"/>
      <c r="W14" s="27"/>
      <c r="X14" s="48"/>
      <c r="Y14" s="49"/>
      <c r="Z14" s="49"/>
      <c r="AA14" s="49"/>
      <c r="AB14" s="49"/>
      <c r="AC14" s="49"/>
      <c r="AD14" s="49"/>
      <c r="AE14" s="49"/>
      <c r="AF14" s="49"/>
      <c r="AG14" s="49"/>
      <c r="AH14" s="54">
        <f>Q14-Y15</f>
        <v>0</v>
      </c>
      <c r="AI14" s="34"/>
      <c r="AJ14" s="34"/>
      <c r="AK14" s="34"/>
      <c r="AL14" s="34"/>
      <c r="AM14" s="34"/>
      <c r="AN14" s="34"/>
      <c r="AO14" s="34"/>
      <c r="AP14" s="74"/>
      <c r="AQ14" s="74"/>
      <c r="AR14" s="74"/>
      <c r="AS14" s="74"/>
      <c r="AT14" s="74"/>
      <c r="AU14" s="74"/>
      <c r="AV14" s="74"/>
      <c r="AW14" s="74"/>
      <c r="AX14" s="2"/>
    </row>
    <row r="15" spans="1:55" ht="20.100000000000001" customHeight="1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7"/>
      <c r="R15" s="27"/>
      <c r="S15" s="27"/>
      <c r="T15" s="27"/>
      <c r="U15" s="27"/>
      <c r="V15" s="27"/>
      <c r="W15" s="27"/>
      <c r="X15" s="48"/>
      <c r="Y15" s="55">
        <f>Y14*0.75</f>
        <v>0</v>
      </c>
      <c r="Z15" s="55"/>
      <c r="AA15" s="55"/>
      <c r="AB15" s="55"/>
      <c r="AC15" s="55"/>
      <c r="AD15" s="55"/>
      <c r="AE15" s="55"/>
      <c r="AF15" s="55"/>
      <c r="AG15" s="55"/>
      <c r="AH15" s="54"/>
      <c r="AI15" s="34"/>
      <c r="AJ15" s="34"/>
      <c r="AK15" s="34"/>
      <c r="AL15" s="34"/>
      <c r="AM15" s="34"/>
      <c r="AN15" s="34"/>
      <c r="AO15" s="34"/>
      <c r="AP15" s="74"/>
      <c r="AQ15" s="74"/>
      <c r="AR15" s="74"/>
      <c r="AS15" s="74"/>
      <c r="AT15" s="74"/>
      <c r="AU15" s="74"/>
      <c r="AV15" s="74"/>
      <c r="AW15" s="74"/>
      <c r="AX15" s="2"/>
    </row>
    <row r="16" spans="1:5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2"/>
    </row>
    <row r="17" spans="1:56">
      <c r="A17" s="4"/>
      <c r="B17" s="5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2"/>
    </row>
    <row r="18" spans="1:56">
      <c r="A18" s="4"/>
      <c r="B18" s="46" t="s">
        <v>12</v>
      </c>
      <c r="C18" s="47"/>
      <c r="D18" s="47"/>
      <c r="E18" s="47" t="s">
        <v>13</v>
      </c>
      <c r="F18" s="47"/>
      <c r="G18" s="47"/>
      <c r="H18" s="47"/>
      <c r="I18" s="47" t="s">
        <v>14</v>
      </c>
      <c r="J18" s="47"/>
      <c r="K18" s="47"/>
      <c r="L18" s="47"/>
      <c r="M18" s="47" t="s">
        <v>15</v>
      </c>
      <c r="N18" s="47"/>
      <c r="O18" s="47"/>
      <c r="P18" s="47"/>
      <c r="Q18" s="47"/>
      <c r="R18" s="47"/>
      <c r="S18" s="47"/>
      <c r="T18" s="47"/>
      <c r="U18" s="46" t="s">
        <v>16</v>
      </c>
      <c r="V18" s="47"/>
      <c r="W18" s="47"/>
      <c r="X18" s="47"/>
      <c r="Y18" s="46" t="s">
        <v>17</v>
      </c>
      <c r="Z18" s="47"/>
      <c r="AA18" s="47"/>
      <c r="AB18" s="47"/>
      <c r="AC18" s="46" t="s">
        <v>18</v>
      </c>
      <c r="AD18" s="47"/>
      <c r="AE18" s="47"/>
      <c r="AF18" s="47"/>
      <c r="AG18" s="46" t="s">
        <v>19</v>
      </c>
      <c r="AH18" s="47"/>
      <c r="AI18" s="47"/>
      <c r="AJ18" s="47"/>
      <c r="AK18" s="46" t="s">
        <v>20</v>
      </c>
      <c r="AL18" s="47"/>
      <c r="AM18" s="47"/>
      <c r="AN18" s="47"/>
      <c r="AO18" s="46" t="s">
        <v>21</v>
      </c>
      <c r="AP18" s="47"/>
      <c r="AQ18" s="47"/>
      <c r="AR18" s="47"/>
      <c r="AS18" s="47" t="s">
        <v>4</v>
      </c>
      <c r="AT18" s="47"/>
      <c r="AU18" s="47"/>
      <c r="AV18" s="47"/>
      <c r="AW18" s="47"/>
      <c r="AX18" s="2"/>
    </row>
    <row r="19" spans="1:56">
      <c r="A19" s="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 t="s">
        <v>22</v>
      </c>
      <c r="N19" s="47"/>
      <c r="O19" s="47"/>
      <c r="P19" s="47"/>
      <c r="Q19" s="47" t="s">
        <v>23</v>
      </c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"/>
    </row>
    <row r="20" spans="1:56" ht="12.95" customHeight="1">
      <c r="A20" s="4"/>
      <c r="B20" s="65"/>
      <c r="C20" s="65"/>
      <c r="D20" s="65"/>
      <c r="E20" s="65"/>
      <c r="F20" s="65"/>
      <c r="G20" s="65"/>
      <c r="H20" s="65"/>
      <c r="I20" s="65">
        <f>'30일'!E20</f>
        <v>0</v>
      </c>
      <c r="J20" s="65"/>
      <c r="K20" s="65"/>
      <c r="L20" s="65"/>
      <c r="M20" s="65">
        <f>'30일'!I20</f>
        <v>0</v>
      </c>
      <c r="N20" s="65"/>
      <c r="O20" s="65"/>
      <c r="P20" s="65"/>
      <c r="Q20" s="27">
        <f>'30일'!Q20+'30일'!M22-'31일'!J8</f>
        <v>0</v>
      </c>
      <c r="R20" s="27"/>
      <c r="S20" s="27"/>
      <c r="T20" s="27"/>
      <c r="U20" s="27">
        <f>J8</f>
        <v>0</v>
      </c>
      <c r="V20" s="27"/>
      <c r="W20" s="27"/>
      <c r="X20" s="27"/>
      <c r="Y20" s="27">
        <f>'30일'!U20</f>
        <v>0</v>
      </c>
      <c r="Z20" s="27"/>
      <c r="AA20" s="27"/>
      <c r="AB20" s="27"/>
      <c r="AC20" s="27">
        <f>'30일'!Y20</f>
        <v>0</v>
      </c>
      <c r="AD20" s="27"/>
      <c r="AE20" s="27"/>
      <c r="AF20" s="27"/>
      <c r="AG20" s="27">
        <f>AS20-U20-Y20-AC20</f>
        <v>0</v>
      </c>
      <c r="AH20" s="27"/>
      <c r="AI20" s="27"/>
      <c r="AJ20" s="27"/>
      <c r="AK20" s="27">
        <v>0</v>
      </c>
      <c r="AL20" s="27"/>
      <c r="AM20" s="27"/>
      <c r="AN20" s="27"/>
      <c r="AO20" s="27">
        <v>0</v>
      </c>
      <c r="AP20" s="27"/>
      <c r="AQ20" s="27"/>
      <c r="AR20" s="27"/>
      <c r="AS20" s="27">
        <f>AH8</f>
        <v>0</v>
      </c>
      <c r="AT20" s="27"/>
      <c r="AU20" s="27"/>
      <c r="AV20" s="27"/>
      <c r="AW20" s="27"/>
      <c r="AX20" s="2"/>
    </row>
    <row r="21" spans="1:56" ht="12.95" customHeight="1">
      <c r="A21" s="4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"/>
      <c r="AY21">
        <f>AH8-U20-Y20-AC20</f>
        <v>0</v>
      </c>
    </row>
    <row r="22" spans="1:56" ht="12.95" customHeight="1">
      <c r="A22" s="4"/>
      <c r="B22" s="50"/>
      <c r="C22" s="50"/>
      <c r="D22" s="50"/>
      <c r="E22" s="50"/>
      <c r="F22" s="50"/>
      <c r="G22" s="50"/>
      <c r="H22" s="50"/>
      <c r="I22" s="50">
        <f>'30일'!E22</f>
        <v>0</v>
      </c>
      <c r="J22" s="50"/>
      <c r="K22" s="50"/>
      <c r="L22" s="50"/>
      <c r="M22" s="50">
        <f>'30일'!I22</f>
        <v>0</v>
      </c>
      <c r="N22" s="50"/>
      <c r="O22" s="50"/>
      <c r="P22" s="50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"/>
      <c r="AY22">
        <f>AG20</f>
        <v>0</v>
      </c>
    </row>
    <row r="23" spans="1:56" ht="12.95" customHeight="1">
      <c r="A23" s="4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"/>
    </row>
    <row r="24" spans="1:56">
      <c r="A24" s="4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1:56">
      <c r="A25" s="4"/>
      <c r="B25" s="20" t="s">
        <v>24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f>U20*8</f>
        <v>0</v>
      </c>
      <c r="P25" s="52">
        <f>Y20*3</f>
        <v>0</v>
      </c>
      <c r="Q25" s="52"/>
      <c r="R25" s="98">
        <f>AC20*3</f>
        <v>0</v>
      </c>
      <c r="S25" s="98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"/>
    </row>
    <row r="26" spans="1:56" ht="27.95" customHeight="1">
      <c r="A26" s="4"/>
      <c r="B26" s="53" t="s">
        <v>25</v>
      </c>
      <c r="C26" s="53"/>
      <c r="D26" s="53"/>
      <c r="E26" s="53"/>
      <c r="F26" s="53"/>
      <c r="G26" s="53"/>
      <c r="H26" s="53" t="s">
        <v>26</v>
      </c>
      <c r="I26" s="53"/>
      <c r="J26" s="53"/>
      <c r="K26" s="53"/>
      <c r="L26" s="53"/>
      <c r="M26" s="53"/>
      <c r="N26" s="53" t="s">
        <v>27</v>
      </c>
      <c r="O26" s="53"/>
      <c r="P26" s="53"/>
      <c r="Q26" s="53"/>
      <c r="R26" s="53"/>
      <c r="S26" s="53"/>
      <c r="T26" s="53" t="s">
        <v>28</v>
      </c>
      <c r="U26" s="53"/>
      <c r="V26" s="53"/>
      <c r="W26" s="53"/>
      <c r="X26" s="53"/>
      <c r="Y26" s="53"/>
      <c r="Z26" s="53" t="s">
        <v>29</v>
      </c>
      <c r="AA26" s="53"/>
      <c r="AB26" s="53"/>
      <c r="AC26" s="53"/>
      <c r="AD26" s="53"/>
      <c r="AE26" s="53"/>
      <c r="AF26" s="53" t="s">
        <v>30</v>
      </c>
      <c r="AG26" s="53"/>
      <c r="AH26" s="53"/>
      <c r="AI26" s="53"/>
      <c r="AJ26" s="53"/>
      <c r="AK26" s="53"/>
      <c r="AL26" s="53" t="s">
        <v>31</v>
      </c>
      <c r="AM26" s="53"/>
      <c r="AN26" s="53"/>
      <c r="AO26" s="53"/>
      <c r="AP26" s="53"/>
      <c r="AQ26" s="53"/>
      <c r="AR26" s="53" t="s">
        <v>32</v>
      </c>
      <c r="AS26" s="53"/>
      <c r="AT26" s="53"/>
      <c r="AU26" s="53"/>
      <c r="AV26" s="53"/>
      <c r="AW26" s="53"/>
      <c r="AX26" s="2"/>
    </row>
    <row r="27" spans="1:56" ht="27.95" customHeight="1">
      <c r="A27" s="4"/>
      <c r="B27" s="38" t="s">
        <v>2</v>
      </c>
      <c r="C27" s="38"/>
      <c r="D27" s="38"/>
      <c r="E27" s="38"/>
      <c r="F27" s="38"/>
      <c r="G27" s="38"/>
      <c r="H27" s="39">
        <f>'30일'!H30:M30</f>
        <v>0</v>
      </c>
      <c r="I27" s="39"/>
      <c r="J27" s="39"/>
      <c r="K27" s="39"/>
      <c r="L27" s="39"/>
      <c r="M27" s="39"/>
      <c r="N27" s="99">
        <f>'30일'!N30:S30</f>
        <v>0</v>
      </c>
      <c r="O27" s="100"/>
      <c r="P27" s="100"/>
      <c r="Q27" s="100"/>
      <c r="R27" s="100"/>
      <c r="S27" s="101"/>
      <c r="T27" s="99">
        <f>'30일'!T30:Y30</f>
        <v>0</v>
      </c>
      <c r="U27" s="100"/>
      <c r="V27" s="100"/>
      <c r="W27" s="100"/>
      <c r="X27" s="100"/>
      <c r="Y27" s="101"/>
      <c r="Z27" s="99">
        <f>'30일'!Z30:AE30</f>
        <v>0</v>
      </c>
      <c r="AA27" s="100"/>
      <c r="AB27" s="100"/>
      <c r="AC27" s="100"/>
      <c r="AD27" s="100"/>
      <c r="AE27" s="101"/>
      <c r="AF27" s="99">
        <f>'30일'!AF30:AK30</f>
        <v>0</v>
      </c>
      <c r="AG27" s="100"/>
      <c r="AH27" s="100"/>
      <c r="AI27" s="100"/>
      <c r="AJ27" s="100"/>
      <c r="AK27" s="101"/>
      <c r="AL27" s="99">
        <f>'30일'!AL30:AQ30</f>
        <v>0</v>
      </c>
      <c r="AM27" s="100"/>
      <c r="AN27" s="100"/>
      <c r="AO27" s="100"/>
      <c r="AP27" s="100"/>
      <c r="AQ27" s="101"/>
      <c r="AR27" s="99">
        <f>'30일'!AR30:AW30</f>
        <v>0</v>
      </c>
      <c r="AS27" s="100"/>
      <c r="AT27" s="100"/>
      <c r="AU27" s="100"/>
      <c r="AV27" s="100"/>
      <c r="AW27" s="101"/>
      <c r="AX27" s="2"/>
    </row>
    <row r="28" spans="1:56" ht="27.95" customHeight="1">
      <c r="A28" s="4"/>
      <c r="B28" s="38" t="s">
        <v>33</v>
      </c>
      <c r="C28" s="38"/>
      <c r="D28" s="38"/>
      <c r="E28" s="38"/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2"/>
    </row>
    <row r="29" spans="1:56" ht="27.95" customHeight="1">
      <c r="A29" s="4"/>
      <c r="B29" s="38" t="s">
        <v>34</v>
      </c>
      <c r="C29" s="38"/>
      <c r="D29" s="38"/>
      <c r="E29" s="38"/>
      <c r="F29" s="38"/>
      <c r="G29" s="38"/>
      <c r="H29" s="40">
        <f>J8*280/40</f>
        <v>0</v>
      </c>
      <c r="I29" s="40"/>
      <c r="J29" s="40"/>
      <c r="K29" s="40"/>
      <c r="L29" s="40"/>
      <c r="M29" s="40"/>
      <c r="N29" s="40">
        <f>SUM(N25:S25)</f>
        <v>0</v>
      </c>
      <c r="O29" s="40"/>
      <c r="P29" s="40"/>
      <c r="Q29" s="40"/>
      <c r="R29" s="40"/>
      <c r="S29" s="40"/>
      <c r="T29" s="40">
        <f>AC20*72</f>
        <v>0</v>
      </c>
      <c r="U29" s="40"/>
      <c r="V29" s="40"/>
      <c r="W29" s="40"/>
      <c r="X29" s="40"/>
      <c r="Y29" s="40"/>
      <c r="Z29" s="40">
        <f>M20*500+Z31</f>
        <v>0</v>
      </c>
      <c r="AA29" s="40"/>
      <c r="AB29" s="40"/>
      <c r="AC29" s="40"/>
      <c r="AD29" s="40"/>
      <c r="AE29" s="40"/>
      <c r="AF29" s="40">
        <f>J8*4</f>
        <v>0</v>
      </c>
      <c r="AG29" s="40"/>
      <c r="AH29" s="40"/>
      <c r="AI29" s="40"/>
      <c r="AJ29" s="40"/>
      <c r="AK29" s="40"/>
      <c r="AL29" s="40">
        <f>Z8*545</f>
        <v>0</v>
      </c>
      <c r="AM29" s="40"/>
      <c r="AN29" s="40"/>
      <c r="AO29" s="40"/>
      <c r="AP29" s="40"/>
      <c r="AQ29" s="40"/>
      <c r="AR29" s="40">
        <f>Z8*95</f>
        <v>0</v>
      </c>
      <c r="AS29" s="40"/>
      <c r="AT29" s="40"/>
      <c r="AU29" s="40"/>
      <c r="AV29" s="40"/>
      <c r="AW29" s="40"/>
      <c r="AX29" s="2"/>
    </row>
    <row r="30" spans="1:56" ht="27.95" customHeight="1">
      <c r="A30" s="4"/>
      <c r="B30" s="38" t="s">
        <v>35</v>
      </c>
      <c r="C30" s="38"/>
      <c r="D30" s="38"/>
      <c r="E30" s="38"/>
      <c r="F30" s="38"/>
      <c r="G30" s="38"/>
      <c r="H30" s="39">
        <f>H27+H28-H29</f>
        <v>0</v>
      </c>
      <c r="I30" s="39"/>
      <c r="J30" s="39"/>
      <c r="K30" s="39"/>
      <c r="L30" s="39"/>
      <c r="M30" s="39"/>
      <c r="N30" s="40">
        <f>N27+N28-N29</f>
        <v>0</v>
      </c>
      <c r="O30" s="40"/>
      <c r="P30" s="40"/>
      <c r="Q30" s="40"/>
      <c r="R30" s="40"/>
      <c r="S30" s="40"/>
      <c r="T30" s="40">
        <f>T27+T28-T29</f>
        <v>0</v>
      </c>
      <c r="U30" s="40"/>
      <c r="V30" s="40"/>
      <c r="W30" s="40"/>
      <c r="X30" s="40"/>
      <c r="Y30" s="40"/>
      <c r="Z30" s="40">
        <f>Z27+Z28-Z29</f>
        <v>0</v>
      </c>
      <c r="AA30" s="40"/>
      <c r="AB30" s="40"/>
      <c r="AC30" s="40"/>
      <c r="AD30" s="40"/>
      <c r="AE30" s="40"/>
      <c r="AF30" s="40">
        <f>AF27+AF28-AF29</f>
        <v>0</v>
      </c>
      <c r="AG30" s="40"/>
      <c r="AH30" s="40"/>
      <c r="AI30" s="40"/>
      <c r="AJ30" s="40"/>
      <c r="AK30" s="40"/>
      <c r="AL30" s="40">
        <f>AL27+AL28-AL29</f>
        <v>0</v>
      </c>
      <c r="AM30" s="40"/>
      <c r="AN30" s="40"/>
      <c r="AO30" s="40"/>
      <c r="AP30" s="40"/>
      <c r="AQ30" s="40"/>
      <c r="AR30" s="40">
        <f>AR27+AR28-AR29</f>
        <v>0</v>
      </c>
      <c r="AS30" s="40"/>
      <c r="AT30" s="40"/>
      <c r="AU30" s="40"/>
      <c r="AV30" s="40"/>
      <c r="AW30" s="40"/>
      <c r="AX30" s="2"/>
      <c r="BD30" s="18"/>
    </row>
    <row r="31" spans="1:56" ht="27.95" customHeight="1">
      <c r="A31" s="4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/>
      <c r="X31" s="45"/>
      <c r="Y31" s="45"/>
      <c r="Z31" s="66"/>
      <c r="AA31" s="66"/>
      <c r="AB31" s="66"/>
      <c r="AC31" s="66"/>
      <c r="AD31" s="66"/>
      <c r="AE31" s="6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"/>
    </row>
    <row r="32" spans="1:56">
      <c r="A32" s="1"/>
      <c r="AX32" s="2"/>
    </row>
    <row r="33" spans="1:50">
      <c r="A33" s="1"/>
      <c r="B33" s="5" t="s">
        <v>37</v>
      </c>
      <c r="C33" s="5"/>
      <c r="D33" s="5"/>
      <c r="E33" s="3"/>
      <c r="F33" s="5"/>
      <c r="G33" s="5"/>
      <c r="H33" s="5"/>
      <c r="I33" s="5"/>
      <c r="J33" s="21"/>
      <c r="K33" s="21"/>
      <c r="L33" s="21"/>
      <c r="M33" s="21"/>
      <c r="N33" s="21"/>
      <c r="O33" s="21"/>
      <c r="P33" s="70">
        <v>2</v>
      </c>
      <c r="Q33" s="70"/>
      <c r="R33" s="70"/>
      <c r="T33" s="91"/>
      <c r="U33" s="91"/>
      <c r="V33" s="91"/>
      <c r="W33" s="21"/>
      <c r="AX33" s="2"/>
    </row>
    <row r="34" spans="1:50">
      <c r="A34" s="1"/>
      <c r="B34" s="67"/>
      <c r="C34" s="67"/>
      <c r="D34" s="67"/>
      <c r="E34" s="67"/>
      <c r="F34" s="67"/>
      <c r="G34" s="67"/>
      <c r="H34" s="67"/>
      <c r="I34" s="67" t="s">
        <v>38</v>
      </c>
      <c r="J34" s="67"/>
      <c r="K34" s="67"/>
      <c r="L34" s="67"/>
      <c r="M34" s="67"/>
      <c r="N34" s="67"/>
      <c r="O34" s="67"/>
      <c r="P34" s="67" t="s">
        <v>39</v>
      </c>
      <c r="Q34" s="67"/>
      <c r="R34" s="67"/>
      <c r="S34" s="67"/>
      <c r="T34" s="67"/>
      <c r="U34" s="67"/>
      <c r="V34" s="67"/>
      <c r="W34" s="67" t="s">
        <v>40</v>
      </c>
      <c r="X34" s="67"/>
      <c r="Y34" s="67"/>
      <c r="Z34" s="67"/>
      <c r="AA34" s="67"/>
      <c r="AB34" s="67"/>
      <c r="AC34" s="67"/>
      <c r="AD34" s="67" t="s">
        <v>41</v>
      </c>
      <c r="AE34" s="67"/>
      <c r="AF34" s="67"/>
      <c r="AG34" s="67"/>
      <c r="AH34" s="67"/>
      <c r="AI34" s="67"/>
      <c r="AJ34" s="67" t="s">
        <v>42</v>
      </c>
      <c r="AK34" s="67"/>
      <c r="AL34" s="67"/>
      <c r="AM34" s="67"/>
      <c r="AN34" s="67"/>
      <c r="AO34" s="67"/>
      <c r="AP34" s="67"/>
      <c r="AQ34" s="67" t="s">
        <v>43</v>
      </c>
      <c r="AR34" s="67"/>
      <c r="AS34" s="67"/>
      <c r="AT34" s="67"/>
      <c r="AU34" s="67"/>
      <c r="AV34" s="67"/>
      <c r="AW34" s="67"/>
      <c r="AX34" s="2"/>
    </row>
    <row r="35" spans="1:50">
      <c r="A35" s="1"/>
      <c r="B35" s="67" t="s">
        <v>44</v>
      </c>
      <c r="C35" s="67"/>
      <c r="D35" s="67"/>
      <c r="E35" s="67"/>
      <c r="F35" s="67"/>
      <c r="G35" s="67"/>
      <c r="H35" s="67"/>
      <c r="I35" s="69">
        <f>'30일'!AQ35</f>
        <v>0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>
        <f>Y14</f>
        <v>0</v>
      </c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>
        <f>AD35+'30일'!AJ35:AP35</f>
        <v>0</v>
      </c>
      <c r="AK35" s="69"/>
      <c r="AL35" s="69"/>
      <c r="AM35" s="69"/>
      <c r="AN35" s="69"/>
      <c r="AO35" s="69"/>
      <c r="AP35" s="69"/>
      <c r="AQ35" s="69">
        <f>I35+P35-W35-AD35</f>
        <v>0</v>
      </c>
      <c r="AR35" s="69"/>
      <c r="AS35" s="69"/>
      <c r="AT35" s="69"/>
      <c r="AU35" s="69"/>
      <c r="AV35" s="69"/>
      <c r="AW35" s="69"/>
      <c r="AX35" s="2"/>
    </row>
    <row r="36" spans="1:50">
      <c r="A36" s="1"/>
      <c r="B36" s="67" t="s">
        <v>66</v>
      </c>
      <c r="C36" s="67"/>
      <c r="D36" s="67"/>
      <c r="E36" s="67"/>
      <c r="F36" s="67"/>
      <c r="G36" s="67"/>
      <c r="H36" s="67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2"/>
    </row>
    <row r="37" spans="1:50">
      <c r="A37" s="1"/>
      <c r="B37" s="67" t="s">
        <v>45</v>
      </c>
      <c r="C37" s="67"/>
      <c r="D37" s="67"/>
      <c r="E37" s="67"/>
      <c r="F37" s="67"/>
      <c r="G37" s="67"/>
      <c r="H37" s="67"/>
      <c r="I37" s="69">
        <f>'30일'!AQ36</f>
        <v>0</v>
      </c>
      <c r="J37" s="69"/>
      <c r="K37" s="69"/>
      <c r="L37" s="69"/>
      <c r="M37" s="69"/>
      <c r="N37" s="69"/>
      <c r="O37" s="69"/>
      <c r="P37" s="69">
        <f>T33*672000</f>
        <v>0</v>
      </c>
      <c r="Q37" s="69"/>
      <c r="R37" s="69"/>
      <c r="S37" s="69"/>
      <c r="T37" s="69"/>
      <c r="U37" s="69"/>
      <c r="V37" s="69"/>
      <c r="W37" s="69">
        <f>W35</f>
        <v>0</v>
      </c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>
        <f>AD37+'30일'!AJ36:AP36</f>
        <v>0</v>
      </c>
      <c r="AK37" s="69"/>
      <c r="AL37" s="69"/>
      <c r="AM37" s="69"/>
      <c r="AN37" s="69"/>
      <c r="AO37" s="69"/>
      <c r="AP37" s="69"/>
      <c r="AQ37" s="69">
        <f>I37+P37-W37-AD37</f>
        <v>0</v>
      </c>
      <c r="AR37" s="69"/>
      <c r="AS37" s="69"/>
      <c r="AT37" s="69"/>
      <c r="AU37" s="69"/>
      <c r="AV37" s="69"/>
      <c r="AW37" s="69"/>
      <c r="AX37" s="2"/>
    </row>
    <row r="38" spans="1:50">
      <c r="A38" s="24"/>
      <c r="B38" s="67" t="s">
        <v>66</v>
      </c>
      <c r="C38" s="67"/>
      <c r="D38" s="67"/>
      <c r="E38" s="67"/>
      <c r="F38" s="67"/>
      <c r="G38" s="67"/>
      <c r="H38" s="67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2"/>
    </row>
    <row r="39" spans="1:50">
      <c r="A39" s="7"/>
      <c r="B39" s="68"/>
      <c r="C39" s="68"/>
      <c r="D39" s="68"/>
      <c r="E39" s="68"/>
      <c r="F39" s="68"/>
      <c r="G39" s="68"/>
      <c r="H39" s="68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68"/>
      <c r="Z39" s="68"/>
      <c r="AA39" s="68"/>
      <c r="AB39" s="68"/>
      <c r="AC39" s="68"/>
      <c r="AD39" s="68"/>
      <c r="AE39" s="68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8"/>
      <c r="AW39" s="8"/>
      <c r="AX39" s="9"/>
    </row>
    <row r="40" spans="1:50">
      <c r="AE40" s="72"/>
      <c r="AF40" s="43"/>
      <c r="AG40" s="43"/>
      <c r="AH40" s="43"/>
      <c r="AI40" s="43"/>
      <c r="AJ40" s="43"/>
    </row>
  </sheetData>
  <mergeCells count="146">
    <mergeCell ref="AE40:AJ40"/>
    <mergeCell ref="B39:H39"/>
    <mergeCell ref="I39:P39"/>
    <mergeCell ref="Q39:X39"/>
    <mergeCell ref="Y39:AE39"/>
    <mergeCell ref="AF39:AN39"/>
    <mergeCell ref="AO39:AU39"/>
    <mergeCell ref="AQ37:AW37"/>
    <mergeCell ref="B38:H38"/>
    <mergeCell ref="I38:O38"/>
    <mergeCell ref="P38:V38"/>
    <mergeCell ref="W38:AC38"/>
    <mergeCell ref="AD38:AI38"/>
    <mergeCell ref="AJ38:AP38"/>
    <mergeCell ref="AQ38:AW38"/>
    <mergeCell ref="B37:H37"/>
    <mergeCell ref="I37:O37"/>
    <mergeCell ref="P37:V37"/>
    <mergeCell ref="W37:AC37"/>
    <mergeCell ref="AD37:AI37"/>
    <mergeCell ref="AJ37:AP37"/>
    <mergeCell ref="AQ34:AW34"/>
    <mergeCell ref="B35:H35"/>
    <mergeCell ref="I35:O35"/>
    <mergeCell ref="P35:V35"/>
    <mergeCell ref="W35:AC35"/>
    <mergeCell ref="AD35:AI35"/>
    <mergeCell ref="AJ35:AP35"/>
    <mergeCell ref="AQ35:AW35"/>
    <mergeCell ref="B34:H34"/>
    <mergeCell ref="I34:O34"/>
    <mergeCell ref="P34:V34"/>
    <mergeCell ref="W34:AC34"/>
    <mergeCell ref="AD34:AI34"/>
    <mergeCell ref="AJ34:AP34"/>
    <mergeCell ref="AL30:AQ30"/>
    <mergeCell ref="AR30:AW30"/>
    <mergeCell ref="W31:Y31"/>
    <mergeCell ref="Z31:AE31"/>
    <mergeCell ref="P33:R33"/>
    <mergeCell ref="T33:V33"/>
    <mergeCell ref="B30:G30"/>
    <mergeCell ref="H30:M30"/>
    <mergeCell ref="N30:S30"/>
    <mergeCell ref="T30:Y30"/>
    <mergeCell ref="Z30:AE30"/>
    <mergeCell ref="AF30:AK30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26:AQ26"/>
    <mergeCell ref="AR26:AW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B24:O24"/>
    <mergeCell ref="P25:Q25"/>
    <mergeCell ref="R25:S25"/>
    <mergeCell ref="B26:G26"/>
    <mergeCell ref="H26:M26"/>
    <mergeCell ref="N26:S26"/>
    <mergeCell ref="Y20:AB23"/>
    <mergeCell ref="AC20:AF23"/>
    <mergeCell ref="AG20:AJ23"/>
    <mergeCell ref="T26:Y26"/>
    <mergeCell ref="Z26:AE26"/>
    <mergeCell ref="AF26:AK26"/>
    <mergeCell ref="B18:D19"/>
    <mergeCell ref="E18:H19"/>
    <mergeCell ref="I18:L19"/>
    <mergeCell ref="M18:T18"/>
    <mergeCell ref="U18:X19"/>
    <mergeCell ref="Y18:AB19"/>
    <mergeCell ref="AK20:AN23"/>
    <mergeCell ref="AO20:AR23"/>
    <mergeCell ref="AS20:AW23"/>
    <mergeCell ref="B20:D21"/>
    <mergeCell ref="E20:H21"/>
    <mergeCell ref="I20:L21"/>
    <mergeCell ref="M20:P21"/>
    <mergeCell ref="Q20:T23"/>
    <mergeCell ref="U20:X23"/>
    <mergeCell ref="B22:D23"/>
    <mergeCell ref="E22:H23"/>
    <mergeCell ref="I22:L23"/>
    <mergeCell ref="M22:P23"/>
    <mergeCell ref="AH12:AO13"/>
    <mergeCell ref="AP12:AW13"/>
    <mergeCell ref="AC18:AF19"/>
    <mergeCell ref="AG18:AJ19"/>
    <mergeCell ref="AK18:AN19"/>
    <mergeCell ref="AO18:AR19"/>
    <mergeCell ref="AS18:AW19"/>
    <mergeCell ref="M19:P19"/>
    <mergeCell ref="Q19:T19"/>
    <mergeCell ref="A1:AX2"/>
    <mergeCell ref="A3:AH4"/>
    <mergeCell ref="AI3:AW4"/>
    <mergeCell ref="B6:I7"/>
    <mergeCell ref="J6:Q7"/>
    <mergeCell ref="R6:Y7"/>
    <mergeCell ref="Z6:AG7"/>
    <mergeCell ref="AH6:AO7"/>
    <mergeCell ref="AP6:AW7"/>
    <mergeCell ref="B36:H36"/>
    <mergeCell ref="I36:O36"/>
    <mergeCell ref="P36:V36"/>
    <mergeCell ref="W36:AC36"/>
    <mergeCell ref="AD36:AI36"/>
    <mergeCell ref="AJ36:AP36"/>
    <mergeCell ref="AQ36:AW36"/>
    <mergeCell ref="B8:I9"/>
    <mergeCell ref="J8:Q9"/>
    <mergeCell ref="R8:Y9"/>
    <mergeCell ref="Z8:AG9"/>
    <mergeCell ref="AH8:AO9"/>
    <mergeCell ref="AP8:AW9"/>
    <mergeCell ref="B14:H15"/>
    <mergeCell ref="I14:P15"/>
    <mergeCell ref="Q14:X15"/>
    <mergeCell ref="Y14:AG14"/>
    <mergeCell ref="AH14:AO15"/>
    <mergeCell ref="AP14:AW15"/>
    <mergeCell ref="Y15:AG15"/>
    <mergeCell ref="B12:H13"/>
    <mergeCell ref="I12:P13"/>
    <mergeCell ref="Q12:X13"/>
    <mergeCell ref="Y12:AG13"/>
  </mergeCells>
  <phoneticPr fontId="3" type="noConversion"/>
  <pageMargins left="0.7" right="0.7" top="0.75" bottom="0.75" header="0.3" footer="0.3"/>
  <pageSetup paperSize="9" scale="99" orientation="portrait" verticalDpi="4294967293" r:id="rId1"/>
  <colBreaks count="1" manualBreakCount="1">
    <brk id="50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32</vt:i4>
      </vt:variant>
      <vt:variant>
        <vt:lpstr>이름 지정된 범위</vt:lpstr>
      </vt:variant>
      <vt:variant>
        <vt:i4>32</vt:i4>
      </vt:variant>
    </vt:vector>
  </HeadingPairs>
  <TitlesOfParts>
    <vt:vector size="64" baseType="lpstr">
      <vt:lpstr>전월말일</vt:lpstr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'10일'!Print_Area</vt:lpstr>
      <vt:lpstr>'11일'!Print_Area</vt:lpstr>
      <vt:lpstr>'12일'!Print_Area</vt:lpstr>
      <vt:lpstr>'13일'!Print_Area</vt:lpstr>
      <vt:lpstr>'14일'!Print_Area</vt:lpstr>
      <vt:lpstr>'15일'!Print_Area</vt:lpstr>
      <vt:lpstr>'16일'!Print_Area</vt:lpstr>
      <vt:lpstr>'17일'!Print_Area</vt:lpstr>
      <vt:lpstr>'18일'!Print_Area</vt:lpstr>
      <vt:lpstr>'19일'!Print_Area</vt:lpstr>
      <vt:lpstr>'1일'!Print_Area</vt:lpstr>
      <vt:lpstr>'20일'!Print_Area</vt:lpstr>
      <vt:lpstr>'21일'!Print_Area</vt:lpstr>
      <vt:lpstr>'22일'!Print_Area</vt:lpstr>
      <vt:lpstr>'23일'!Print_Area</vt:lpstr>
      <vt:lpstr>'24일'!Print_Area</vt:lpstr>
      <vt:lpstr>'25일'!Print_Area</vt:lpstr>
      <vt:lpstr>'26일'!Print_Area</vt:lpstr>
      <vt:lpstr>'27일'!Print_Area</vt:lpstr>
      <vt:lpstr>'28일'!Print_Area</vt:lpstr>
      <vt:lpstr>'29일'!Print_Area</vt:lpstr>
      <vt:lpstr>'2일'!Print_Area</vt:lpstr>
      <vt:lpstr>'30일'!Print_Area</vt:lpstr>
      <vt:lpstr>'31일'!Print_Area</vt:lpstr>
      <vt:lpstr>'3일'!Print_Area</vt:lpstr>
      <vt:lpstr>'4일'!Print_Area</vt:lpstr>
      <vt:lpstr>'5일'!Print_Area</vt:lpstr>
      <vt:lpstr>'6일'!Print_Area</vt:lpstr>
      <vt:lpstr>'7일'!Print_Area</vt:lpstr>
      <vt:lpstr>'8일'!Print_Area</vt:lpstr>
      <vt:lpstr>'9일'!Print_Area</vt:lpstr>
      <vt:lpstr>전월말일!Print_Area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이용률</dc:creator>
  <cp:keywords/>
  <dc:description/>
  <cp:lastModifiedBy>진영 정</cp:lastModifiedBy>
  <cp:revision/>
  <cp:lastPrinted>2025-05-30T00:45:01Z</cp:lastPrinted>
  <dcterms:created xsi:type="dcterms:W3CDTF">2016-11-30T01:10:51Z</dcterms:created>
  <dcterms:modified xsi:type="dcterms:W3CDTF">2026-03-30T01:23:33Z</dcterms:modified>
  <cp:category/>
  <cp:contentStatus/>
</cp:coreProperties>
</file>